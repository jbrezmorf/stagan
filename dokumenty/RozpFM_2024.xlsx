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T:\Livorova\ROZPOCTY\Rozp_2024\"/>
    </mc:Choice>
  </mc:AlternateContent>
  <xr:revisionPtr revIDLastSave="0" documentId="13_ncr:1_{43F16A67-70A9-4997-9F43-BED888B0DF2E}" xr6:coauthVersionLast="47" xr6:coauthVersionMax="47" xr10:uidLastSave="{00000000-0000-0000-0000-000000000000}"/>
  <bookViews>
    <workbookView xWindow="-28935" yWindow="-135" windowWidth="29070" windowHeight="15870" tabRatio="720" firstSheet="9" activeTab="17" xr2:uid="{00000000-000D-0000-FFFF-FFFF00000000}"/>
  </bookViews>
  <sheets>
    <sheet name="0_PRIDEL" sheetId="65" r:id="rId1"/>
    <sheet name="1_Bc_Mag_DSP" sheetId="21" r:id="rId2"/>
    <sheet name="2_Projekty_BP_DP" sheetId="19" r:id="rId3"/>
    <sheet name="3_DSP" sheetId="18" r:id="rId4"/>
    <sheet name="4_DOC_PROF" sheetId="67" r:id="rId5"/>
    <sheet name="4a_úvazky-na-FM" sheetId="72" r:id="rId6"/>
    <sheet name="5_Výuka" sheetId="56" r:id="rId7"/>
    <sheet name="6_Garanti" sheetId="71" r:id="rId8"/>
    <sheet name="7_Plochy pracovišť" sheetId="54" r:id="rId9"/>
    <sheet name="8_Výpočet_20%_FRIM" sheetId="63" r:id="rId10"/>
    <sheet name="9_DFM" sheetId="64" r:id="rId11"/>
    <sheet name="10_Celkem_106" sheetId="20" r:id="rId12"/>
    <sheet name="11_Celkem_115" sheetId="70" r:id="rId13"/>
    <sheet name="13_Celoškolská Režie" sheetId="68" r:id="rId14"/>
    <sheet name="12_Celkem_117" sheetId="66" r:id="rId15"/>
    <sheet name="14_rozpočítání DF" sheetId="76" r:id="rId16"/>
    <sheet name="ROZPOČET" sheetId="73" r:id="rId17"/>
    <sheet name="ROZPOČET + DODATEK" sheetId="78" r:id="rId18"/>
  </sheets>
  <definedNames>
    <definedName name="_xlnm._FilterDatabase" localSheetId="8" hidden="1">'7_Plochy pracovišť'!$A$1:$IF$138</definedName>
    <definedName name="_xlnm.Print_Area" localSheetId="0">'0_PRIDEL'!$A$1:$C$28</definedName>
    <definedName name="_xlnm.Print_Area" localSheetId="1">'1_Bc_Mag_DSP'!$A$1:$I$27</definedName>
    <definedName name="_xlnm.Print_Area" localSheetId="11">'10_Celkem_106'!$A$1:$N$16</definedName>
    <definedName name="_xlnm.Print_Area" localSheetId="14">'12_Celkem_117'!$A$1:$J$31</definedName>
    <definedName name="_xlnm.Print_Area" localSheetId="13">'13_Celoškolská Režie'!$A$1:$F$37</definedName>
    <definedName name="_xlnm.Print_Area" localSheetId="2">'2_Projekty_BP_DP'!$A$1:$J$15</definedName>
    <definedName name="_xlnm.Print_Area" localSheetId="3">'3_DSP'!$A$1:$L$15</definedName>
    <definedName name="_xlnm.Print_Area" localSheetId="5">'4a_úvazky-na-FM'!$A$1:$I$27</definedName>
    <definedName name="_xlnm.Print_Area" localSheetId="6">'5_Výuka'!$A$339:$K$361</definedName>
    <definedName name="_xlnm.Print_Area" localSheetId="8">'7_Plochy pracovišť'!$A$138:$I$139</definedName>
    <definedName name="_xlnm.Print_Area" localSheetId="9">'8_Výpočet_20%_FRIM'!$A$1:$I$12</definedName>
    <definedName name="_xlnm.Print_Area" localSheetId="10">'9_DFM'!$A$1:$E$26</definedName>
    <definedName name="_xlnm.Print_Area" localSheetId="16">ROZPOČET!$A$1:$J$32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65" l="1"/>
  <c r="H11" i="78"/>
  <c r="G10" i="78"/>
  <c r="C22" i="78"/>
  <c r="C20" i="78"/>
  <c r="C19" i="78"/>
  <c r="C18" i="78"/>
  <c r="C12" i="78"/>
  <c r="F11" i="78"/>
  <c r="E11" i="78"/>
  <c r="D11" i="78"/>
  <c r="C11" i="78"/>
  <c r="F9" i="78"/>
  <c r="E9" i="78"/>
  <c r="D9" i="78"/>
  <c r="C9" i="78"/>
  <c r="F8" i="78"/>
  <c r="E8" i="78"/>
  <c r="D8" i="78"/>
  <c r="C8" i="78"/>
  <c r="F7" i="78"/>
  <c r="E7" i="78"/>
  <c r="E10" i="78" s="1"/>
  <c r="E13" i="78" s="1"/>
  <c r="D7" i="78"/>
  <c r="D10" i="78" s="1"/>
  <c r="C7" i="78"/>
  <c r="G13" i="73"/>
  <c r="C13" i="73"/>
  <c r="H14" i="76"/>
  <c r="H14" i="20"/>
  <c r="H16" i="20" s="1"/>
  <c r="O14" i="18"/>
  <c r="B19" i="65"/>
  <c r="F39" i="68"/>
  <c r="M10" i="18"/>
  <c r="I50" i="56"/>
  <c r="F25" i="68"/>
  <c r="H7" i="78" l="1"/>
  <c r="H8" i="78"/>
  <c r="H9" i="78"/>
  <c r="C21" i="78"/>
  <c r="C23" i="78" s="1"/>
  <c r="F10" i="78"/>
  <c r="F13" i="78" s="1"/>
  <c r="D13" i="78"/>
  <c r="H10" i="78"/>
  <c r="H13" i="78" s="1"/>
  <c r="C10" i="78"/>
  <c r="C13" i="78" s="1"/>
  <c r="H335" i="56" a="1"/>
  <c r="H335" i="56" s="1"/>
  <c r="G335" i="56" a="1"/>
  <c r="G335" i="56" s="1"/>
  <c r="F335" i="56"/>
  <c r="H334" i="56" a="1"/>
  <c r="H334" i="56" s="1"/>
  <c r="G334" i="56"/>
  <c r="G334" i="56" a="1"/>
  <c r="F334" i="56"/>
  <c r="H333" i="56" a="1"/>
  <c r="H333" i="56" s="1"/>
  <c r="G333" i="56" a="1"/>
  <c r="G333" i="56" s="1"/>
  <c r="F333" i="56"/>
  <c r="H332" i="56"/>
  <c r="H332" i="56" a="1"/>
  <c r="G332" i="56" a="1"/>
  <c r="G332" i="56" s="1"/>
  <c r="F332" i="56"/>
  <c r="H331" i="56" a="1"/>
  <c r="H331" i="56" s="1"/>
  <c r="G331" i="56" a="1"/>
  <c r="G331" i="56" s="1"/>
  <c r="F331" i="56"/>
  <c r="H330" i="56" a="1"/>
  <c r="H330" i="56" s="1"/>
  <c r="G330" i="56"/>
  <c r="G330" i="56" a="1"/>
  <c r="F330" i="56"/>
  <c r="H329" i="56" a="1"/>
  <c r="H329" i="56" s="1"/>
  <c r="G329" i="56" a="1"/>
  <c r="G329" i="56" s="1"/>
  <c r="F329" i="56"/>
  <c r="H328" i="56"/>
  <c r="H328" i="56" a="1"/>
  <c r="G328" i="56" a="1"/>
  <c r="G328" i="56" s="1"/>
  <c r="F328" i="56"/>
  <c r="H327" i="56" a="1"/>
  <c r="H327" i="56" s="1"/>
  <c r="G327" i="56" a="1"/>
  <c r="G327" i="56" s="1"/>
  <c r="F327" i="56"/>
  <c r="H326" i="56" a="1"/>
  <c r="H326" i="56" s="1"/>
  <c r="G326" i="56"/>
  <c r="G326" i="56" a="1"/>
  <c r="F326" i="56"/>
  <c r="H325" i="56" a="1"/>
  <c r="H325" i="56" s="1"/>
  <c r="G325" i="56" a="1"/>
  <c r="G325" i="56" s="1"/>
  <c r="F325" i="56"/>
  <c r="H324" i="56"/>
  <c r="H324" i="56" a="1"/>
  <c r="G324" i="56" a="1"/>
  <c r="G324" i="56" s="1"/>
  <c r="F324" i="56"/>
  <c r="H323" i="56" a="1"/>
  <c r="H323" i="56" s="1"/>
  <c r="G323" i="56" a="1"/>
  <c r="G323" i="56" s="1"/>
  <c r="F323" i="56"/>
  <c r="H322" i="56" a="1"/>
  <c r="H322" i="56" s="1"/>
  <c r="G322" i="56"/>
  <c r="G322" i="56" a="1"/>
  <c r="F322" i="56"/>
  <c r="H321" i="56" a="1"/>
  <c r="H321" i="56" s="1"/>
  <c r="G321" i="56" a="1"/>
  <c r="G321" i="56" s="1"/>
  <c r="F321" i="56"/>
  <c r="H320" i="56"/>
  <c r="H320" i="56" a="1"/>
  <c r="G320" i="56" a="1"/>
  <c r="G320" i="56" s="1"/>
  <c r="F320" i="56"/>
  <c r="H319" i="56" a="1"/>
  <c r="H319" i="56" s="1"/>
  <c r="G319" i="56" a="1"/>
  <c r="G319" i="56" s="1"/>
  <c r="F319" i="56"/>
  <c r="H318" i="56" a="1"/>
  <c r="H318" i="56" s="1"/>
  <c r="G318" i="56"/>
  <c r="G318" i="56" a="1"/>
  <c r="F318" i="56"/>
  <c r="H317" i="56" a="1"/>
  <c r="H317" i="56" s="1"/>
  <c r="G317" i="56" a="1"/>
  <c r="G317" i="56" s="1"/>
  <c r="F317" i="56"/>
  <c r="H316" i="56"/>
  <c r="H316" i="56" a="1"/>
  <c r="G316" i="56" a="1"/>
  <c r="G316" i="56" s="1"/>
  <c r="F316" i="56"/>
  <c r="H315" i="56" a="1"/>
  <c r="H315" i="56" s="1"/>
  <c r="G315" i="56" a="1"/>
  <c r="G315" i="56" s="1"/>
  <c r="F315" i="56"/>
  <c r="H314" i="56" a="1"/>
  <c r="H314" i="56" s="1"/>
  <c r="G314" i="56"/>
  <c r="G314" i="56" a="1"/>
  <c r="F314" i="56"/>
  <c r="H313" i="56" a="1"/>
  <c r="H313" i="56" s="1"/>
  <c r="G313" i="56" a="1"/>
  <c r="G313" i="56" s="1"/>
  <c r="F313" i="56"/>
  <c r="H312" i="56"/>
  <c r="H312" i="56" a="1"/>
  <c r="G312" i="56" a="1"/>
  <c r="G312" i="56" s="1"/>
  <c r="F312" i="56"/>
  <c r="H311" i="56" a="1"/>
  <c r="H311" i="56" s="1"/>
  <c r="G311" i="56" a="1"/>
  <c r="G311" i="56" s="1"/>
  <c r="F311" i="56"/>
  <c r="H310" i="56" a="1"/>
  <c r="H310" i="56" s="1"/>
  <c r="G310" i="56"/>
  <c r="G310" i="56" a="1"/>
  <c r="F310" i="56"/>
  <c r="H308" i="56" a="1"/>
  <c r="H308" i="56" s="1"/>
  <c r="G308" i="56" a="1"/>
  <c r="G308" i="56" s="1"/>
  <c r="F308" i="56"/>
  <c r="H307" i="56"/>
  <c r="H307" i="56" a="1"/>
  <c r="G307" i="56"/>
  <c r="G307" i="56" a="1"/>
  <c r="F307" i="56"/>
  <c r="H306" i="56" a="1"/>
  <c r="H306" i="56" s="1"/>
  <c r="G306" i="56" a="1"/>
  <c r="G306" i="56" s="1"/>
  <c r="F306" i="56"/>
  <c r="H305" i="56"/>
  <c r="H305" i="56" a="1"/>
  <c r="G305" i="56"/>
  <c r="G305" i="56" a="1"/>
  <c r="F305" i="56"/>
  <c r="H304" i="56" a="1"/>
  <c r="H304" i="56" s="1"/>
  <c r="G304" i="56" a="1"/>
  <c r="G304" i="56" s="1"/>
  <c r="F304" i="56"/>
  <c r="H303" i="56"/>
  <c r="H303" i="56" a="1"/>
  <c r="G303" i="56"/>
  <c r="G303" i="56" a="1"/>
  <c r="F303" i="56"/>
  <c r="H302" i="56" a="1"/>
  <c r="H302" i="56" s="1"/>
  <c r="G302" i="56" a="1"/>
  <c r="G302" i="56" s="1"/>
  <c r="F302" i="56"/>
  <c r="H301" i="56"/>
  <c r="H301" i="56" a="1"/>
  <c r="G301" i="56"/>
  <c r="G301" i="56" a="1"/>
  <c r="F301" i="56"/>
  <c r="H300" i="56" a="1"/>
  <c r="H300" i="56" s="1"/>
  <c r="G300" i="56" a="1"/>
  <c r="G300" i="56" s="1"/>
  <c r="F300" i="56"/>
  <c r="H299" i="56"/>
  <c r="H299" i="56" a="1"/>
  <c r="G299" i="56"/>
  <c r="G299" i="56" a="1"/>
  <c r="F299" i="56"/>
  <c r="H298" i="56" a="1"/>
  <c r="H298" i="56" s="1"/>
  <c r="G298" i="56" a="1"/>
  <c r="G298" i="56" s="1"/>
  <c r="F298" i="56"/>
  <c r="H297" i="56"/>
  <c r="H297" i="56" a="1"/>
  <c r="G297" i="56"/>
  <c r="G297" i="56" a="1"/>
  <c r="F297" i="56"/>
  <c r="H296" i="56" a="1"/>
  <c r="H296" i="56" s="1"/>
  <c r="G296" i="56" a="1"/>
  <c r="G296" i="56" s="1"/>
  <c r="F296" i="56"/>
  <c r="H295" i="56"/>
  <c r="H295" i="56" a="1"/>
  <c r="G295" i="56"/>
  <c r="G295" i="56" a="1"/>
  <c r="F295" i="56"/>
  <c r="H294" i="56" a="1"/>
  <c r="H294" i="56" s="1"/>
  <c r="G294" i="56" a="1"/>
  <c r="G294" i="56" s="1"/>
  <c r="F294" i="56"/>
  <c r="H293" i="56"/>
  <c r="H293" i="56" a="1"/>
  <c r="G293" i="56"/>
  <c r="G293" i="56" a="1"/>
  <c r="F293" i="56"/>
  <c r="H292" i="56" a="1"/>
  <c r="H292" i="56" s="1"/>
  <c r="G292" i="56" a="1"/>
  <c r="G292" i="56" s="1"/>
  <c r="F292" i="56"/>
  <c r="H291" i="56"/>
  <c r="H291" i="56" a="1"/>
  <c r="G291" i="56"/>
  <c r="G291" i="56" a="1"/>
  <c r="F291" i="56"/>
  <c r="H290" i="56" a="1"/>
  <c r="H290" i="56" s="1"/>
  <c r="G290" i="56" a="1"/>
  <c r="G290" i="56" s="1"/>
  <c r="F290" i="56"/>
  <c r="H289" i="56"/>
  <c r="H289" i="56" a="1"/>
  <c r="G289" i="56"/>
  <c r="G289" i="56" a="1"/>
  <c r="F289" i="56"/>
  <c r="H288" i="56" a="1"/>
  <c r="H288" i="56" s="1"/>
  <c r="G288" i="56" a="1"/>
  <c r="G288" i="56" s="1"/>
  <c r="F288" i="56"/>
  <c r="H287" i="56"/>
  <c r="H287" i="56" a="1"/>
  <c r="G287" i="56"/>
  <c r="G287" i="56" a="1"/>
  <c r="F287" i="56"/>
  <c r="H286" i="56" a="1"/>
  <c r="H286" i="56" s="1"/>
  <c r="G286" i="56" a="1"/>
  <c r="G286" i="56" s="1"/>
  <c r="F286" i="56"/>
  <c r="H285" i="56"/>
  <c r="H285" i="56" a="1"/>
  <c r="G285" i="56" a="1"/>
  <c r="G285" i="56" s="1"/>
  <c r="F285" i="56"/>
  <c r="H284" i="56" a="1"/>
  <c r="H284" i="56" s="1"/>
  <c r="G284" i="56" a="1"/>
  <c r="G284" i="56" s="1"/>
  <c r="F284" i="56"/>
  <c r="H283" i="56"/>
  <c r="H283" i="56" a="1"/>
  <c r="G283" i="56"/>
  <c r="G283" i="56" a="1"/>
  <c r="F283" i="56"/>
  <c r="H282" i="56" a="1"/>
  <c r="H282" i="56" s="1"/>
  <c r="G282" i="56" a="1"/>
  <c r="G282" i="56" s="1"/>
  <c r="F282" i="56"/>
  <c r="H281" i="56"/>
  <c r="H281" i="56" a="1"/>
  <c r="G281" i="56"/>
  <c r="G281" i="56" a="1"/>
  <c r="F281" i="56"/>
  <c r="H280" i="56" a="1"/>
  <c r="H280" i="56" s="1"/>
  <c r="G280" i="56" a="1"/>
  <c r="G280" i="56" s="1"/>
  <c r="F280" i="56"/>
  <c r="H279" i="56"/>
  <c r="H279" i="56" a="1"/>
  <c r="G279" i="56"/>
  <c r="G279" i="56" a="1"/>
  <c r="F279" i="56"/>
  <c r="H278" i="56" a="1"/>
  <c r="H278" i="56" s="1"/>
  <c r="G278" i="56" a="1"/>
  <c r="G278" i="56" s="1"/>
  <c r="F278" i="56"/>
  <c r="H277" i="56"/>
  <c r="H277" i="56" a="1"/>
  <c r="G277" i="56"/>
  <c r="G277" i="56" a="1"/>
  <c r="F277" i="56"/>
  <c r="H276" i="56" a="1"/>
  <c r="H276" i="56" s="1"/>
  <c r="G276" i="56" a="1"/>
  <c r="G276" i="56" s="1"/>
  <c r="F276" i="56"/>
  <c r="H273" i="56" a="1"/>
  <c r="H273" i="56" s="1"/>
  <c r="G273" i="56" a="1"/>
  <c r="G273" i="56" s="1"/>
  <c r="F273" i="56"/>
  <c r="H272" i="56"/>
  <c r="H272" i="56" a="1"/>
  <c r="G272" i="56"/>
  <c r="G272" i="56" a="1"/>
  <c r="F272" i="56"/>
  <c r="H271" i="56" a="1"/>
  <c r="H271" i="56" s="1"/>
  <c r="G271" i="56" a="1"/>
  <c r="G271" i="56" s="1"/>
  <c r="F271" i="56"/>
  <c r="H270" i="56"/>
  <c r="H270" i="56" a="1"/>
  <c r="G270" i="56"/>
  <c r="G270" i="56" a="1"/>
  <c r="F270" i="56"/>
  <c r="H269" i="56" a="1"/>
  <c r="H269" i="56" s="1"/>
  <c r="G269" i="56" a="1"/>
  <c r="G269" i="56" s="1"/>
  <c r="F269" i="56"/>
  <c r="H268" i="56"/>
  <c r="H268" i="56" a="1"/>
  <c r="G268" i="56"/>
  <c r="G268" i="56" a="1"/>
  <c r="F268" i="56"/>
  <c r="H267" i="56" a="1"/>
  <c r="H267" i="56" s="1"/>
  <c r="G267" i="56" a="1"/>
  <c r="G267" i="56" s="1"/>
  <c r="F267" i="56"/>
  <c r="H266" i="56"/>
  <c r="H266" i="56" a="1"/>
  <c r="G266" i="56"/>
  <c r="G266" i="56" a="1"/>
  <c r="F266" i="56"/>
  <c r="H265" i="56" a="1"/>
  <c r="H265" i="56" s="1"/>
  <c r="G265" i="56" a="1"/>
  <c r="G265" i="56" s="1"/>
  <c r="F265" i="56"/>
  <c r="H264" i="56"/>
  <c r="H264" i="56" a="1"/>
  <c r="G264" i="56"/>
  <c r="G264" i="56" a="1"/>
  <c r="F264" i="56"/>
  <c r="H263" i="56" a="1"/>
  <c r="H263" i="56" s="1"/>
  <c r="G263" i="56" a="1"/>
  <c r="G263" i="56" s="1"/>
  <c r="F263" i="56"/>
  <c r="H262" i="56"/>
  <c r="H262" i="56" a="1"/>
  <c r="G262" i="56"/>
  <c r="G262" i="56" a="1"/>
  <c r="F262" i="56"/>
  <c r="H261" i="56" a="1"/>
  <c r="H261" i="56" s="1"/>
  <c r="G261" i="56" a="1"/>
  <c r="G261" i="56" s="1"/>
  <c r="F261" i="56"/>
  <c r="H260" i="56"/>
  <c r="H260" i="56" a="1"/>
  <c r="G260" i="56"/>
  <c r="G260" i="56" a="1"/>
  <c r="F260" i="56"/>
  <c r="H259" i="56" a="1"/>
  <c r="H259" i="56" s="1"/>
  <c r="G259" i="56" a="1"/>
  <c r="G259" i="56" s="1"/>
  <c r="F259" i="56"/>
  <c r="H258" i="56"/>
  <c r="H258" i="56" a="1"/>
  <c r="G258" i="56"/>
  <c r="G258" i="56" a="1"/>
  <c r="F258" i="56"/>
  <c r="H257" i="56" a="1"/>
  <c r="H257" i="56" s="1"/>
  <c r="G257" i="56" a="1"/>
  <c r="G257" i="56" s="1"/>
  <c r="F257" i="56"/>
  <c r="H256" i="56"/>
  <c r="H256" i="56" a="1"/>
  <c r="G256" i="56"/>
  <c r="G256" i="56" a="1"/>
  <c r="F256" i="56"/>
  <c r="H255" i="56" a="1"/>
  <c r="H255" i="56" s="1"/>
  <c r="G255" i="56" a="1"/>
  <c r="G255" i="56" s="1"/>
  <c r="F255" i="56"/>
  <c r="H254" i="56"/>
  <c r="H254" i="56" a="1"/>
  <c r="G254" i="56"/>
  <c r="G254" i="56" a="1"/>
  <c r="F254" i="56"/>
  <c r="H253" i="56" a="1"/>
  <c r="H253" i="56" s="1"/>
  <c r="G253" i="56" a="1"/>
  <c r="G253" i="56" s="1"/>
  <c r="F253" i="56"/>
  <c r="H252" i="56"/>
  <c r="H252" i="56" a="1"/>
  <c r="G252" i="56"/>
  <c r="G252" i="56" a="1"/>
  <c r="F252" i="56"/>
  <c r="H251" i="56" a="1"/>
  <c r="H251" i="56" s="1"/>
  <c r="G251" i="56" a="1"/>
  <c r="G251" i="56" s="1"/>
  <c r="F251" i="56"/>
  <c r="H249" i="56" a="1"/>
  <c r="H249" i="56" s="1"/>
  <c r="G249" i="56" a="1"/>
  <c r="G249" i="56" s="1"/>
  <c r="F249" i="56"/>
  <c r="H248" i="56"/>
  <c r="H248" i="56" a="1"/>
  <c r="G248" i="56"/>
  <c r="G248" i="56" a="1"/>
  <c r="F248" i="56"/>
  <c r="H247" i="56" a="1"/>
  <c r="H247" i="56" s="1"/>
  <c r="G247" i="56" a="1"/>
  <c r="G247" i="56" s="1"/>
  <c r="F247" i="56"/>
  <c r="H246" i="56"/>
  <c r="H246" i="56" a="1"/>
  <c r="G246" i="56"/>
  <c r="G246" i="56" a="1"/>
  <c r="F246" i="56"/>
  <c r="H245" i="56" a="1"/>
  <c r="H245" i="56" s="1"/>
  <c r="G245" i="56" a="1"/>
  <c r="G245" i="56" s="1"/>
  <c r="F245" i="56"/>
  <c r="H244" i="56"/>
  <c r="H244" i="56" a="1"/>
  <c r="G244" i="56"/>
  <c r="G244" i="56" a="1"/>
  <c r="F244" i="56"/>
  <c r="H243" i="56" a="1"/>
  <c r="H243" i="56" s="1"/>
  <c r="G243" i="56" a="1"/>
  <c r="G243" i="56" s="1"/>
  <c r="F243" i="56"/>
  <c r="H242" i="56"/>
  <c r="H242" i="56" a="1"/>
  <c r="G242" i="56"/>
  <c r="G242" i="56" a="1"/>
  <c r="F242" i="56"/>
  <c r="H241" i="56" a="1"/>
  <c r="H241" i="56" s="1"/>
  <c r="G241" i="56" a="1"/>
  <c r="G241" i="56" s="1"/>
  <c r="F241" i="56"/>
  <c r="H240" i="56"/>
  <c r="H240" i="56" a="1"/>
  <c r="G240" i="56"/>
  <c r="G240" i="56" a="1"/>
  <c r="F240" i="56"/>
  <c r="H239" i="56" a="1"/>
  <c r="H239" i="56" s="1"/>
  <c r="G239" i="56" a="1"/>
  <c r="G239" i="56" s="1"/>
  <c r="F239" i="56"/>
  <c r="H238" i="56"/>
  <c r="H238" i="56" a="1"/>
  <c r="G238" i="56"/>
  <c r="G238" i="56" a="1"/>
  <c r="F238" i="56"/>
  <c r="H237" i="56" a="1"/>
  <c r="H237" i="56" s="1"/>
  <c r="G237" i="56" a="1"/>
  <c r="G237" i="56" s="1"/>
  <c r="F237" i="56"/>
  <c r="H236" i="56"/>
  <c r="H236" i="56" a="1"/>
  <c r="G236" i="56"/>
  <c r="G236" i="56" a="1"/>
  <c r="F236" i="56"/>
  <c r="H235" i="56" a="1"/>
  <c r="H235" i="56" s="1"/>
  <c r="G235" i="56" a="1"/>
  <c r="G235" i="56" s="1"/>
  <c r="F235" i="56"/>
  <c r="H234" i="56"/>
  <c r="H234" i="56" a="1"/>
  <c r="G234" i="56"/>
  <c r="G234" i="56" a="1"/>
  <c r="F234" i="56"/>
  <c r="H233" i="56" a="1"/>
  <c r="H233" i="56" s="1"/>
  <c r="G233" i="56" a="1"/>
  <c r="G233" i="56" s="1"/>
  <c r="F233" i="56"/>
  <c r="H232" i="56" a="1"/>
  <c r="H232" i="56" s="1"/>
  <c r="G232" i="56"/>
  <c r="G232" i="56" a="1"/>
  <c r="F232" i="56"/>
  <c r="H231" i="56" a="1"/>
  <c r="H231" i="56" s="1"/>
  <c r="G231" i="56" a="1"/>
  <c r="G231" i="56" s="1"/>
  <c r="F231" i="56"/>
  <c r="H229" i="56" a="1"/>
  <c r="H229" i="56" s="1"/>
  <c r="G229" i="56" a="1"/>
  <c r="G229" i="56" s="1"/>
  <c r="F229" i="56"/>
  <c r="H228" i="56"/>
  <c r="H228" i="56" a="1"/>
  <c r="G228" i="56" a="1"/>
  <c r="G228" i="56" s="1"/>
  <c r="F228" i="56"/>
  <c r="H227" i="56" a="1"/>
  <c r="H227" i="56" s="1"/>
  <c r="G227" i="56" a="1"/>
  <c r="G227" i="56" s="1"/>
  <c r="F227" i="56"/>
  <c r="H226" i="56"/>
  <c r="H226" i="56" a="1"/>
  <c r="G226" i="56" a="1"/>
  <c r="G226" i="56" s="1"/>
  <c r="F226" i="56"/>
  <c r="H225" i="56" a="1"/>
  <c r="H225" i="56" s="1"/>
  <c r="G225" i="56" a="1"/>
  <c r="G225" i="56" s="1"/>
  <c r="F225" i="56"/>
  <c r="H224" i="56"/>
  <c r="H224" i="56" a="1"/>
  <c r="G224" i="56" a="1"/>
  <c r="G224" i="56" s="1"/>
  <c r="F224" i="56"/>
  <c r="H223" i="56" a="1"/>
  <c r="H223" i="56" s="1"/>
  <c r="G223" i="56" a="1"/>
  <c r="G223" i="56" s="1"/>
  <c r="F223" i="56"/>
  <c r="H222" i="56"/>
  <c r="H222" i="56" a="1"/>
  <c r="G222" i="56" a="1"/>
  <c r="G222" i="56" s="1"/>
  <c r="F222" i="56"/>
  <c r="H221" i="56" a="1"/>
  <c r="H221" i="56" s="1"/>
  <c r="G221" i="56" a="1"/>
  <c r="G221" i="56" s="1"/>
  <c r="F221" i="56"/>
  <c r="H220" i="56"/>
  <c r="H220" i="56" a="1"/>
  <c r="G220" i="56" a="1"/>
  <c r="G220" i="56" s="1"/>
  <c r="F220" i="56"/>
  <c r="H219" i="56" a="1"/>
  <c r="H219" i="56" s="1"/>
  <c r="G219" i="56" a="1"/>
  <c r="G219" i="56" s="1"/>
  <c r="F219" i="56"/>
  <c r="H218" i="56"/>
  <c r="H218" i="56" a="1"/>
  <c r="G218" i="56" a="1"/>
  <c r="G218" i="56" s="1"/>
  <c r="F218" i="56"/>
  <c r="H217" i="56" a="1"/>
  <c r="H217" i="56" s="1"/>
  <c r="G217" i="56" a="1"/>
  <c r="G217" i="56" s="1"/>
  <c r="F217" i="56"/>
  <c r="H216" i="56"/>
  <c r="H216" i="56" a="1"/>
  <c r="G216" i="56" a="1"/>
  <c r="G216" i="56" s="1"/>
  <c r="F216" i="56"/>
  <c r="H215" i="56" a="1"/>
  <c r="H215" i="56" s="1"/>
  <c r="G215" i="56" a="1"/>
  <c r="G215" i="56" s="1"/>
  <c r="F215" i="56"/>
  <c r="H214" i="56"/>
  <c r="H214" i="56" a="1"/>
  <c r="G214" i="56" a="1"/>
  <c r="G214" i="56" s="1"/>
  <c r="F214" i="56"/>
  <c r="H213" i="56" a="1"/>
  <c r="H213" i="56" s="1"/>
  <c r="G213" i="56" a="1"/>
  <c r="G213" i="56" s="1"/>
  <c r="F213" i="56"/>
  <c r="H212" i="56"/>
  <c r="H212" i="56" a="1"/>
  <c r="G212" i="56" a="1"/>
  <c r="G212" i="56" s="1"/>
  <c r="F212" i="56"/>
  <c r="H206" i="56" a="1"/>
  <c r="H206" i="56" s="1"/>
  <c r="G206" i="56" a="1"/>
  <c r="G206" i="56" s="1"/>
  <c r="F206" i="56"/>
  <c r="H205" i="56"/>
  <c r="H205" i="56" a="1"/>
  <c r="G205" i="56" a="1"/>
  <c r="G205" i="56" s="1"/>
  <c r="F205" i="56"/>
  <c r="H204" i="56" a="1"/>
  <c r="H204" i="56" s="1"/>
  <c r="G204" i="56" a="1"/>
  <c r="G204" i="56" s="1"/>
  <c r="F204" i="56"/>
  <c r="H203" i="56"/>
  <c r="H203" i="56" a="1"/>
  <c r="G203" i="56" a="1"/>
  <c r="G203" i="56" s="1"/>
  <c r="F203" i="56"/>
  <c r="H202" i="56" a="1"/>
  <c r="H202" i="56" s="1"/>
  <c r="G202" i="56" a="1"/>
  <c r="G202" i="56" s="1"/>
  <c r="F202" i="56"/>
  <c r="H201" i="56"/>
  <c r="H201" i="56" a="1"/>
  <c r="G201" i="56" a="1"/>
  <c r="G201" i="56" s="1"/>
  <c r="F201" i="56"/>
  <c r="H200" i="56" a="1"/>
  <c r="H200" i="56" s="1"/>
  <c r="G200" i="56" a="1"/>
  <c r="G200" i="56" s="1"/>
  <c r="F200" i="56"/>
  <c r="H199" i="56"/>
  <c r="H199" i="56" a="1"/>
  <c r="G199" i="56" a="1"/>
  <c r="G199" i="56" s="1"/>
  <c r="F199" i="56"/>
  <c r="H198" i="56" a="1"/>
  <c r="H198" i="56" s="1"/>
  <c r="G198" i="56" a="1"/>
  <c r="G198" i="56" s="1"/>
  <c r="F198" i="56"/>
  <c r="H197" i="56"/>
  <c r="H197" i="56" a="1"/>
  <c r="G197" i="56" a="1"/>
  <c r="G197" i="56" s="1"/>
  <c r="F197" i="56"/>
  <c r="H196" i="56" a="1"/>
  <c r="H196" i="56" s="1"/>
  <c r="G196" i="56" a="1"/>
  <c r="G196" i="56" s="1"/>
  <c r="F196" i="56"/>
  <c r="H195" i="56"/>
  <c r="H195" i="56" a="1"/>
  <c r="G195" i="56" a="1"/>
  <c r="G195" i="56" s="1"/>
  <c r="F195" i="56"/>
  <c r="H194" i="56" a="1"/>
  <c r="H194" i="56" s="1"/>
  <c r="G194" i="56" a="1"/>
  <c r="G194" i="56" s="1"/>
  <c r="F194" i="56"/>
  <c r="H193" i="56"/>
  <c r="H193" i="56" a="1"/>
  <c r="G193" i="56" a="1"/>
  <c r="G193" i="56" s="1"/>
  <c r="F193" i="56"/>
  <c r="H192" i="56" a="1"/>
  <c r="H192" i="56" s="1"/>
  <c r="G192" i="56" a="1"/>
  <c r="G192" i="56" s="1"/>
  <c r="F192" i="56"/>
  <c r="H191" i="56"/>
  <c r="H191" i="56" a="1"/>
  <c r="G191" i="56" a="1"/>
  <c r="G191" i="56" s="1"/>
  <c r="F191" i="56"/>
  <c r="H190" i="56" a="1"/>
  <c r="H190" i="56" s="1"/>
  <c r="G190" i="56" a="1"/>
  <c r="G190" i="56" s="1"/>
  <c r="F190" i="56"/>
  <c r="H189" i="56" a="1"/>
  <c r="H189" i="56" s="1"/>
  <c r="G189" i="56" a="1"/>
  <c r="G189" i="56" s="1"/>
  <c r="F189" i="56"/>
  <c r="H188" i="56" a="1"/>
  <c r="H188" i="56" s="1"/>
  <c r="G188" i="56" a="1"/>
  <c r="G188" i="56" s="1"/>
  <c r="F188" i="56"/>
  <c r="H187" i="56" a="1"/>
  <c r="H187" i="56" s="1"/>
  <c r="G187" i="56" a="1"/>
  <c r="G187" i="56" s="1"/>
  <c r="F187" i="56"/>
  <c r="H186" i="56" a="1"/>
  <c r="H186" i="56" s="1"/>
  <c r="G186" i="56" a="1"/>
  <c r="G186" i="56" s="1"/>
  <c r="F186" i="56"/>
  <c r="H185" i="56" a="1"/>
  <c r="H185" i="56" s="1"/>
  <c r="G185" i="56" a="1"/>
  <c r="G185" i="56" s="1"/>
  <c r="F185" i="56"/>
  <c r="H184" i="56" a="1"/>
  <c r="H184" i="56" s="1"/>
  <c r="G184" i="56" a="1"/>
  <c r="G184" i="56" s="1"/>
  <c r="F184" i="56"/>
  <c r="H183" i="56" a="1"/>
  <c r="H183" i="56" s="1"/>
  <c r="G183" i="56" a="1"/>
  <c r="G183" i="56" s="1"/>
  <c r="F183" i="56"/>
  <c r="H182" i="56" a="1"/>
  <c r="H182" i="56" s="1"/>
  <c r="G182" i="56" a="1"/>
  <c r="G182" i="56" s="1"/>
  <c r="F182" i="56"/>
  <c r="H181" i="56" a="1"/>
  <c r="H181" i="56" s="1"/>
  <c r="G181" i="56" a="1"/>
  <c r="G181" i="56" s="1"/>
  <c r="F181" i="56"/>
  <c r="H180" i="56" a="1"/>
  <c r="H180" i="56" s="1"/>
  <c r="G180" i="56" a="1"/>
  <c r="G180" i="56" s="1"/>
  <c r="F180" i="56"/>
  <c r="H178" i="56" a="1"/>
  <c r="H178" i="56" s="1"/>
  <c r="G178" i="56" a="1"/>
  <c r="G178" i="56" s="1"/>
  <c r="F178" i="56"/>
  <c r="H177" i="56"/>
  <c r="H177" i="56" a="1"/>
  <c r="G177" i="56"/>
  <c r="G177" i="56" a="1"/>
  <c r="F177" i="56"/>
  <c r="H176" i="56" a="1"/>
  <c r="H176" i="56" s="1"/>
  <c r="G176" i="56" a="1"/>
  <c r="G176" i="56" s="1"/>
  <c r="F176" i="56"/>
  <c r="H175" i="56"/>
  <c r="H175" i="56" a="1"/>
  <c r="G175" i="56"/>
  <c r="G175" i="56" a="1"/>
  <c r="F175" i="56"/>
  <c r="H174" i="56" a="1"/>
  <c r="H174" i="56" s="1"/>
  <c r="G174" i="56" a="1"/>
  <c r="G174" i="56" s="1"/>
  <c r="F174" i="56"/>
  <c r="H173" i="56"/>
  <c r="H173" i="56" a="1"/>
  <c r="G173" i="56"/>
  <c r="G173" i="56" a="1"/>
  <c r="F173" i="56"/>
  <c r="H172" i="56" a="1"/>
  <c r="H172" i="56" s="1"/>
  <c r="G172" i="56" a="1"/>
  <c r="G172" i="56" s="1"/>
  <c r="F172" i="56"/>
  <c r="H171" i="56" a="1"/>
  <c r="H171" i="56" s="1"/>
  <c r="G171" i="56"/>
  <c r="G171" i="56" a="1"/>
  <c r="F171" i="56"/>
  <c r="H170" i="56" a="1"/>
  <c r="H170" i="56" s="1"/>
  <c r="G170" i="56" a="1"/>
  <c r="G170" i="56" s="1"/>
  <c r="F170" i="56"/>
  <c r="H169" i="56" a="1"/>
  <c r="H169" i="56" s="1"/>
  <c r="G169" i="56" a="1"/>
  <c r="G169" i="56" s="1"/>
  <c r="F169" i="56"/>
  <c r="H168" i="56" a="1"/>
  <c r="H168" i="56" s="1"/>
  <c r="G168" i="56" a="1"/>
  <c r="G168" i="56" s="1"/>
  <c r="F168" i="56"/>
  <c r="H167" i="56" a="1"/>
  <c r="H167" i="56" s="1"/>
  <c r="G167" i="56" a="1"/>
  <c r="G167" i="56" s="1"/>
  <c r="F167" i="56"/>
  <c r="H166" i="56" a="1"/>
  <c r="H166" i="56" s="1"/>
  <c r="G166" i="56" a="1"/>
  <c r="G166" i="56" s="1"/>
  <c r="F166" i="56"/>
  <c r="H165" i="56" a="1"/>
  <c r="H165" i="56" s="1"/>
  <c r="G165" i="56" a="1"/>
  <c r="G165" i="56" s="1"/>
  <c r="F165" i="56"/>
  <c r="H164" i="56" a="1"/>
  <c r="H164" i="56" s="1"/>
  <c r="G164" i="56" a="1"/>
  <c r="G164" i="56" s="1"/>
  <c r="F164" i="56"/>
  <c r="H163" i="56"/>
  <c r="H163" i="56" a="1"/>
  <c r="G163" i="56" a="1"/>
  <c r="G163" i="56" s="1"/>
  <c r="F163" i="56"/>
  <c r="H162" i="56"/>
  <c r="H162" i="56" a="1"/>
  <c r="G162" i="56" a="1"/>
  <c r="G162" i="56" s="1"/>
  <c r="F162" i="56"/>
  <c r="H161" i="56" a="1"/>
  <c r="H161" i="56" s="1"/>
  <c r="G161" i="56" a="1"/>
  <c r="G161" i="56" s="1"/>
  <c r="F161" i="56"/>
  <c r="H160" i="56" a="1"/>
  <c r="H160" i="56" s="1"/>
  <c r="G160" i="56" a="1"/>
  <c r="G160" i="56" s="1"/>
  <c r="F160" i="56"/>
  <c r="H159" i="56"/>
  <c r="H159" i="56" a="1"/>
  <c r="G159" i="56" a="1"/>
  <c r="G159" i="56" s="1"/>
  <c r="F159" i="56"/>
  <c r="H158" i="56"/>
  <c r="H158" i="56" a="1"/>
  <c r="G158" i="56" a="1"/>
  <c r="G158" i="56" s="1"/>
  <c r="F158" i="56"/>
  <c r="H157" i="56" a="1"/>
  <c r="H157" i="56" s="1"/>
  <c r="G157" i="56" a="1"/>
  <c r="G157" i="56" s="1"/>
  <c r="F157" i="56"/>
  <c r="H156" i="56" a="1"/>
  <c r="H156" i="56" s="1"/>
  <c r="G156" i="56" a="1"/>
  <c r="G156" i="56" s="1"/>
  <c r="F156" i="56"/>
  <c r="H155" i="56"/>
  <c r="H155" i="56" a="1"/>
  <c r="G155" i="56" a="1"/>
  <c r="G155" i="56" s="1"/>
  <c r="F155" i="56"/>
  <c r="H154" i="56"/>
  <c r="H154" i="56" a="1"/>
  <c r="G154" i="56" a="1"/>
  <c r="G154" i="56" s="1"/>
  <c r="F154" i="56"/>
  <c r="H153" i="56" a="1"/>
  <c r="H153" i="56" s="1"/>
  <c r="G153" i="56" a="1"/>
  <c r="G153" i="56" s="1"/>
  <c r="F153" i="56"/>
  <c r="H152" i="56" a="1"/>
  <c r="H152" i="56" s="1"/>
  <c r="G152" i="56" a="1"/>
  <c r="G152" i="56" s="1"/>
  <c r="F152" i="56"/>
  <c r="H151" i="56"/>
  <c r="H151" i="56" a="1"/>
  <c r="G151" i="56" a="1"/>
  <c r="G151" i="56" s="1"/>
  <c r="F151" i="56"/>
  <c r="H150" i="56"/>
  <c r="H150" i="56" a="1"/>
  <c r="G150" i="56" a="1"/>
  <c r="G150" i="56" s="1"/>
  <c r="F150" i="56"/>
  <c r="H149" i="56" a="1"/>
  <c r="H149" i="56" s="1"/>
  <c r="G149" i="56" a="1"/>
  <c r="G149" i="56" s="1"/>
  <c r="F149" i="56"/>
  <c r="H148" i="56" a="1"/>
  <c r="H148" i="56" s="1"/>
  <c r="G148" i="56" a="1"/>
  <c r="G148" i="56" s="1"/>
  <c r="F148" i="56"/>
  <c r="H147" i="56"/>
  <c r="H147" i="56" a="1"/>
  <c r="G147" i="56" a="1"/>
  <c r="G147" i="56" s="1"/>
  <c r="F147" i="56"/>
  <c r="H146" i="56"/>
  <c r="H146" i="56" a="1"/>
  <c r="G146" i="56" a="1"/>
  <c r="G146" i="56" s="1"/>
  <c r="F146" i="56"/>
  <c r="H145" i="56" a="1"/>
  <c r="H145" i="56" s="1"/>
  <c r="G145" i="56" a="1"/>
  <c r="G145" i="56" s="1"/>
  <c r="F145" i="56"/>
  <c r="H144" i="56" a="1"/>
  <c r="H144" i="56" s="1"/>
  <c r="G144" i="56" a="1"/>
  <c r="G144" i="56" s="1"/>
  <c r="F144" i="56"/>
  <c r="H143" i="56"/>
  <c r="H143" i="56" a="1"/>
  <c r="G143" i="56" a="1"/>
  <c r="G143" i="56" s="1"/>
  <c r="F143" i="56"/>
  <c r="H142" i="56"/>
  <c r="H142" i="56" a="1"/>
  <c r="G142" i="56" a="1"/>
  <c r="G142" i="56" s="1"/>
  <c r="F142" i="56"/>
  <c r="H141" i="56" a="1"/>
  <c r="H141" i="56" s="1"/>
  <c r="G141" i="56" a="1"/>
  <c r="G141" i="56" s="1"/>
  <c r="F141" i="56"/>
  <c r="H138" i="56" a="1"/>
  <c r="H138" i="56" s="1"/>
  <c r="G138" i="56" a="1"/>
  <c r="G138" i="56" s="1"/>
  <c r="F138" i="56"/>
  <c r="H137" i="56" a="1"/>
  <c r="H137" i="56" s="1"/>
  <c r="G137" i="56" a="1"/>
  <c r="G137" i="56" s="1"/>
  <c r="F137" i="56"/>
  <c r="H136" i="56" a="1"/>
  <c r="H136" i="56" s="1"/>
  <c r="G136" i="56" a="1"/>
  <c r="G136" i="56" s="1"/>
  <c r="F136" i="56"/>
  <c r="H135" i="56" a="1"/>
  <c r="H135" i="56" s="1"/>
  <c r="G135" i="56" a="1"/>
  <c r="G135" i="56" s="1"/>
  <c r="F135" i="56"/>
  <c r="H134" i="56" a="1"/>
  <c r="H134" i="56" s="1"/>
  <c r="G134" i="56" a="1"/>
  <c r="G134" i="56" s="1"/>
  <c r="F134" i="56"/>
  <c r="H133" i="56" a="1"/>
  <c r="H133" i="56" s="1"/>
  <c r="G133" i="56" a="1"/>
  <c r="G133" i="56" s="1"/>
  <c r="F133" i="56"/>
  <c r="H132" i="56" a="1"/>
  <c r="H132" i="56" s="1"/>
  <c r="G132" i="56" a="1"/>
  <c r="G132" i="56" s="1"/>
  <c r="F132" i="56"/>
  <c r="H131" i="56" a="1"/>
  <c r="H131" i="56" s="1"/>
  <c r="G131" i="56" a="1"/>
  <c r="G131" i="56" s="1"/>
  <c r="F131" i="56"/>
  <c r="H130" i="56" a="1"/>
  <c r="H130" i="56" s="1"/>
  <c r="G130" i="56" a="1"/>
  <c r="G130" i="56" s="1"/>
  <c r="F130" i="56"/>
  <c r="H129" i="56" a="1"/>
  <c r="H129" i="56" s="1"/>
  <c r="G129" i="56" a="1"/>
  <c r="G129" i="56" s="1"/>
  <c r="F129" i="56"/>
  <c r="H128" i="56" a="1"/>
  <c r="H128" i="56" s="1"/>
  <c r="G128" i="56" a="1"/>
  <c r="G128" i="56" s="1"/>
  <c r="F128" i="56"/>
  <c r="H127" i="56" a="1"/>
  <c r="H127" i="56" s="1"/>
  <c r="G127" i="56" a="1"/>
  <c r="G127" i="56" s="1"/>
  <c r="F127" i="56"/>
  <c r="H126" i="56" a="1"/>
  <c r="H126" i="56" s="1"/>
  <c r="G126" i="56" a="1"/>
  <c r="G126" i="56" s="1"/>
  <c r="F126" i="56"/>
  <c r="H125" i="56" a="1"/>
  <c r="H125" i="56" s="1"/>
  <c r="G125" i="56" a="1"/>
  <c r="G125" i="56" s="1"/>
  <c r="F125" i="56"/>
  <c r="H124" i="56" a="1"/>
  <c r="H124" i="56" s="1"/>
  <c r="G124" i="56" a="1"/>
  <c r="G124" i="56" s="1"/>
  <c r="F124" i="56"/>
  <c r="H123" i="56" a="1"/>
  <c r="H123" i="56" s="1"/>
  <c r="G123" i="56" a="1"/>
  <c r="G123" i="56" s="1"/>
  <c r="F123" i="56"/>
  <c r="H122" i="56" a="1"/>
  <c r="H122" i="56" s="1"/>
  <c r="G122" i="56" a="1"/>
  <c r="G122" i="56" s="1"/>
  <c r="F122" i="56"/>
  <c r="H121" i="56" a="1"/>
  <c r="H121" i="56" s="1"/>
  <c r="G121" i="56" a="1"/>
  <c r="G121" i="56" s="1"/>
  <c r="F121" i="56"/>
  <c r="H120" i="56" a="1"/>
  <c r="H120" i="56" s="1"/>
  <c r="G120" i="56" a="1"/>
  <c r="G120" i="56" s="1"/>
  <c r="F120" i="56"/>
  <c r="H119" i="56" a="1"/>
  <c r="H119" i="56" s="1"/>
  <c r="G119" i="56" a="1"/>
  <c r="G119" i="56" s="1"/>
  <c r="F119" i="56"/>
  <c r="H118" i="56" a="1"/>
  <c r="H118" i="56" s="1"/>
  <c r="G118" i="56" a="1"/>
  <c r="G118" i="56" s="1"/>
  <c r="F118" i="56"/>
  <c r="H117" i="56" a="1"/>
  <c r="H117" i="56" s="1"/>
  <c r="G117" i="56" a="1"/>
  <c r="G117" i="56" s="1"/>
  <c r="F117" i="56"/>
  <c r="H116" i="56" a="1"/>
  <c r="H116" i="56" s="1"/>
  <c r="G116" i="56" a="1"/>
  <c r="G116" i="56" s="1"/>
  <c r="F116" i="56"/>
  <c r="H115" i="56" a="1"/>
  <c r="H115" i="56" s="1"/>
  <c r="G115" i="56" a="1"/>
  <c r="G115" i="56" s="1"/>
  <c r="F115" i="56"/>
  <c r="H114" i="56" a="1"/>
  <c r="H114" i="56" s="1"/>
  <c r="G114" i="56" a="1"/>
  <c r="G114" i="56" s="1"/>
  <c r="F114" i="56"/>
  <c r="H113" i="56" a="1"/>
  <c r="H113" i="56" s="1"/>
  <c r="G113" i="56" a="1"/>
  <c r="G113" i="56" s="1"/>
  <c r="F113" i="56"/>
  <c r="H112" i="56" a="1"/>
  <c r="H112" i="56" s="1"/>
  <c r="G112" i="56" a="1"/>
  <c r="G112" i="56" s="1"/>
  <c r="F112" i="56"/>
  <c r="H111" i="56" a="1"/>
  <c r="H111" i="56" s="1"/>
  <c r="G111" i="56" a="1"/>
  <c r="G111" i="56" s="1"/>
  <c r="F111" i="56"/>
  <c r="H110" i="56" a="1"/>
  <c r="H110" i="56" s="1"/>
  <c r="G110" i="56" a="1"/>
  <c r="G110" i="56" s="1"/>
  <c r="F110" i="56"/>
  <c r="H108" i="56" a="1"/>
  <c r="H108" i="56" s="1"/>
  <c r="G108" i="56"/>
  <c r="I108" i="56" s="1"/>
  <c r="G108" i="56" a="1"/>
  <c r="F108" i="56"/>
  <c r="H107" i="56" a="1"/>
  <c r="H107" i="56" s="1"/>
  <c r="G107" i="56"/>
  <c r="G107" i="56" a="1"/>
  <c r="F107" i="56"/>
  <c r="H106" i="56" a="1"/>
  <c r="H106" i="56" s="1"/>
  <c r="G106" i="56" a="1"/>
  <c r="G106" i="56" s="1"/>
  <c r="F106" i="56"/>
  <c r="H105" i="56"/>
  <c r="H105" i="56" a="1"/>
  <c r="G105" i="56" a="1"/>
  <c r="G105" i="56" s="1"/>
  <c r="F105" i="56"/>
  <c r="H104" i="56" a="1"/>
  <c r="H104" i="56" s="1"/>
  <c r="G104" i="56" a="1"/>
  <c r="G104" i="56" s="1"/>
  <c r="F104" i="56"/>
  <c r="H103" i="56" a="1"/>
  <c r="H103" i="56" s="1"/>
  <c r="G103" i="56"/>
  <c r="G103" i="56" a="1"/>
  <c r="F103" i="56"/>
  <c r="H102" i="56" a="1"/>
  <c r="H102" i="56" s="1"/>
  <c r="G102" i="56" a="1"/>
  <c r="G102" i="56" s="1"/>
  <c r="F102" i="56"/>
  <c r="H101" i="56"/>
  <c r="H101" i="56" a="1"/>
  <c r="G101" i="56" a="1"/>
  <c r="G101" i="56" s="1"/>
  <c r="F101" i="56"/>
  <c r="H100" i="56" a="1"/>
  <c r="H100" i="56" s="1"/>
  <c r="G100" i="56" a="1"/>
  <c r="G100" i="56" s="1"/>
  <c r="F100" i="56"/>
  <c r="H99" i="56" a="1"/>
  <c r="H99" i="56" s="1"/>
  <c r="G99" i="56"/>
  <c r="G99" i="56" a="1"/>
  <c r="F99" i="56"/>
  <c r="H98" i="56" a="1"/>
  <c r="H98" i="56" s="1"/>
  <c r="G98" i="56" a="1"/>
  <c r="G98" i="56" s="1"/>
  <c r="F98" i="56"/>
  <c r="H97" i="56"/>
  <c r="H97" i="56" a="1"/>
  <c r="G97" i="56" a="1"/>
  <c r="G97" i="56" s="1"/>
  <c r="F97" i="56"/>
  <c r="H96" i="56" a="1"/>
  <c r="H96" i="56" s="1"/>
  <c r="G96" i="56" a="1"/>
  <c r="G96" i="56" s="1"/>
  <c r="F96" i="56"/>
  <c r="H95" i="56" a="1"/>
  <c r="H95" i="56" s="1"/>
  <c r="G95" i="56"/>
  <c r="G95" i="56" a="1"/>
  <c r="F95" i="56"/>
  <c r="H94" i="56" a="1"/>
  <c r="H94" i="56" s="1"/>
  <c r="G94" i="56" a="1"/>
  <c r="G94" i="56" s="1"/>
  <c r="F94" i="56"/>
  <c r="H93" i="56"/>
  <c r="H93" i="56" a="1"/>
  <c r="G93" i="56" a="1"/>
  <c r="G93" i="56" s="1"/>
  <c r="F93" i="56"/>
  <c r="H92" i="56" a="1"/>
  <c r="H92" i="56" s="1"/>
  <c r="G92" i="56" a="1"/>
  <c r="G92" i="56" s="1"/>
  <c r="F92" i="56"/>
  <c r="H91" i="56" a="1"/>
  <c r="H91" i="56" s="1"/>
  <c r="G91" i="56"/>
  <c r="G91" i="56" a="1"/>
  <c r="F91" i="56"/>
  <c r="H90" i="56" a="1"/>
  <c r="H90" i="56" s="1"/>
  <c r="G90" i="56" a="1"/>
  <c r="G90" i="56" s="1"/>
  <c r="F90" i="56"/>
  <c r="H89" i="56"/>
  <c r="H89" i="56" a="1"/>
  <c r="G89" i="56" a="1"/>
  <c r="G89" i="56" s="1"/>
  <c r="F89" i="56"/>
  <c r="H88" i="56" a="1"/>
  <c r="H88" i="56" s="1"/>
  <c r="G88" i="56" a="1"/>
  <c r="G88" i="56" s="1"/>
  <c r="F88" i="56"/>
  <c r="H87" i="56" a="1"/>
  <c r="H87" i="56" s="1"/>
  <c r="G87" i="56"/>
  <c r="G87" i="56" a="1"/>
  <c r="F87" i="56"/>
  <c r="H86" i="56" a="1"/>
  <c r="H86" i="56" s="1"/>
  <c r="G86" i="56" a="1"/>
  <c r="G86" i="56" s="1"/>
  <c r="F86" i="56"/>
  <c r="H85" i="56"/>
  <c r="H85" i="56" a="1"/>
  <c r="G85" i="56" a="1"/>
  <c r="G85" i="56" s="1"/>
  <c r="F85" i="56"/>
  <c r="H84" i="56" a="1"/>
  <c r="H84" i="56" s="1"/>
  <c r="G84" i="56" a="1"/>
  <c r="G84" i="56" s="1"/>
  <c r="F84" i="56"/>
  <c r="H83" i="56" a="1"/>
  <c r="H83" i="56" s="1"/>
  <c r="G83" i="56"/>
  <c r="G83" i="56" a="1"/>
  <c r="F83" i="56"/>
  <c r="H81" i="56" a="1"/>
  <c r="H81" i="56" s="1"/>
  <c r="G81" i="56" a="1"/>
  <c r="G81" i="56" s="1"/>
  <c r="F81" i="56"/>
  <c r="H80" i="56" a="1"/>
  <c r="H80" i="56" s="1"/>
  <c r="G80" i="56" a="1"/>
  <c r="G80" i="56" s="1"/>
  <c r="F80" i="56"/>
  <c r="H79" i="56" a="1"/>
  <c r="H79" i="56" s="1"/>
  <c r="G79" i="56" a="1"/>
  <c r="G79" i="56" s="1"/>
  <c r="F79" i="56"/>
  <c r="H78" i="56" a="1"/>
  <c r="H78" i="56" s="1"/>
  <c r="G78" i="56" a="1"/>
  <c r="G78" i="56" s="1"/>
  <c r="F78" i="56"/>
  <c r="H77" i="56" a="1"/>
  <c r="H77" i="56" s="1"/>
  <c r="G77" i="56" a="1"/>
  <c r="G77" i="56" s="1"/>
  <c r="F77" i="56"/>
  <c r="H76" i="56" a="1"/>
  <c r="H76" i="56" s="1"/>
  <c r="G76" i="56" a="1"/>
  <c r="G76" i="56" s="1"/>
  <c r="F76" i="56"/>
  <c r="H75" i="56" a="1"/>
  <c r="H75" i="56" s="1"/>
  <c r="G75" i="56" a="1"/>
  <c r="G75" i="56" s="1"/>
  <c r="F75" i="56"/>
  <c r="H74" i="56" a="1"/>
  <c r="H74" i="56" s="1"/>
  <c r="G74" i="56" a="1"/>
  <c r="G74" i="56" s="1"/>
  <c r="F74" i="56"/>
  <c r="H73" i="56" a="1"/>
  <c r="H73" i="56" s="1"/>
  <c r="G73" i="56" a="1"/>
  <c r="G73" i="56" s="1"/>
  <c r="F73" i="56"/>
  <c r="H72" i="56" a="1"/>
  <c r="H72" i="56" s="1"/>
  <c r="G72" i="56" a="1"/>
  <c r="G72" i="56" s="1"/>
  <c r="F72" i="56"/>
  <c r="H71" i="56" a="1"/>
  <c r="H71" i="56" s="1"/>
  <c r="G71" i="56" a="1"/>
  <c r="G71" i="56" s="1"/>
  <c r="F71" i="56"/>
  <c r="H70" i="56" a="1"/>
  <c r="H70" i="56" s="1"/>
  <c r="G70" i="56" a="1"/>
  <c r="G70" i="56" s="1"/>
  <c r="F70" i="56"/>
  <c r="H69" i="56" a="1"/>
  <c r="H69" i="56" s="1"/>
  <c r="G69" i="56" a="1"/>
  <c r="G69" i="56" s="1"/>
  <c r="F69" i="56"/>
  <c r="H68" i="56" a="1"/>
  <c r="H68" i="56" s="1"/>
  <c r="G68" i="56" a="1"/>
  <c r="G68" i="56" s="1"/>
  <c r="F68" i="56"/>
  <c r="H67" i="56" a="1"/>
  <c r="H67" i="56" s="1"/>
  <c r="G67" i="56" a="1"/>
  <c r="G67" i="56" s="1"/>
  <c r="F67" i="56"/>
  <c r="H66" i="56" a="1"/>
  <c r="H66" i="56" s="1"/>
  <c r="G66" i="56" a="1"/>
  <c r="G66" i="56" s="1"/>
  <c r="F66" i="56"/>
  <c r="H60" i="56" a="1"/>
  <c r="H60" i="56" s="1"/>
  <c r="G60" i="56" a="1"/>
  <c r="G60" i="56" s="1"/>
  <c r="F60" i="56"/>
  <c r="H59" i="56" a="1"/>
  <c r="H59" i="56" s="1"/>
  <c r="G59" i="56" a="1"/>
  <c r="G59" i="56" s="1"/>
  <c r="F59" i="56"/>
  <c r="H58" i="56" a="1"/>
  <c r="H58" i="56" s="1"/>
  <c r="G58" i="56" a="1"/>
  <c r="G58" i="56" s="1"/>
  <c r="F58" i="56"/>
  <c r="H57" i="56" a="1"/>
  <c r="H57" i="56" s="1"/>
  <c r="G57" i="56" a="1"/>
  <c r="G57" i="56" s="1"/>
  <c r="F57" i="56"/>
  <c r="H56" i="56" a="1"/>
  <c r="H56" i="56" s="1"/>
  <c r="G56" i="56" a="1"/>
  <c r="G56" i="56" s="1"/>
  <c r="F56" i="56"/>
  <c r="H55" i="56"/>
  <c r="H55" i="56" a="1"/>
  <c r="G55" i="56" a="1"/>
  <c r="G55" i="56" s="1"/>
  <c r="F55" i="56"/>
  <c r="H54" i="56" a="1"/>
  <c r="H54" i="56" s="1"/>
  <c r="G54" i="56" a="1"/>
  <c r="G54" i="56" s="1"/>
  <c r="F54" i="56"/>
  <c r="H53" i="56" a="1"/>
  <c r="H53" i="56" s="1"/>
  <c r="G53" i="56" a="1"/>
  <c r="G53" i="56" s="1"/>
  <c r="F53" i="56"/>
  <c r="H52" i="56" a="1"/>
  <c r="H52" i="56" s="1"/>
  <c r="G52" i="56" a="1"/>
  <c r="G52" i="56" s="1"/>
  <c r="F52" i="56"/>
  <c r="H51" i="56" a="1"/>
  <c r="H51" i="56" s="1"/>
  <c r="G51" i="56" a="1"/>
  <c r="G51" i="56" s="1"/>
  <c r="F51" i="56"/>
  <c r="H49" i="56" a="1"/>
  <c r="H49" i="56" s="1"/>
  <c r="G49" i="56" a="1"/>
  <c r="G49" i="56" s="1"/>
  <c r="F49" i="56"/>
  <c r="I49" i="56" s="1"/>
  <c r="H48" i="56" a="1"/>
  <c r="H48" i="56" s="1"/>
  <c r="G48" i="56" a="1"/>
  <c r="G48" i="56" s="1"/>
  <c r="F48" i="56"/>
  <c r="H47" i="56" a="1"/>
  <c r="H47" i="56" s="1"/>
  <c r="G47" i="56" a="1"/>
  <c r="G47" i="56" s="1"/>
  <c r="F47" i="56"/>
  <c r="H46" i="56" a="1"/>
  <c r="H46" i="56" s="1"/>
  <c r="G46" i="56" a="1"/>
  <c r="G46" i="56" s="1"/>
  <c r="F46" i="56"/>
  <c r="H45" i="56" a="1"/>
  <c r="H45" i="56" s="1"/>
  <c r="G45" i="56" a="1"/>
  <c r="G45" i="56" s="1"/>
  <c r="F45" i="56"/>
  <c r="H44" i="56" a="1"/>
  <c r="H44" i="56" s="1"/>
  <c r="G44" i="56" a="1"/>
  <c r="G44" i="56" s="1"/>
  <c r="F44" i="56"/>
  <c r="H43" i="56" a="1"/>
  <c r="H43" i="56" s="1"/>
  <c r="G43" i="56" a="1"/>
  <c r="G43" i="56" s="1"/>
  <c r="F43" i="56"/>
  <c r="H42" i="56" a="1"/>
  <c r="H42" i="56" s="1"/>
  <c r="G42" i="56" a="1"/>
  <c r="G42" i="56" s="1"/>
  <c r="F42" i="56"/>
  <c r="H41" i="56" a="1"/>
  <c r="H41" i="56" s="1"/>
  <c r="G41" i="56" a="1"/>
  <c r="G41" i="56" s="1"/>
  <c r="F41" i="56"/>
  <c r="H40" i="56" a="1"/>
  <c r="H40" i="56" s="1"/>
  <c r="G40" i="56" a="1"/>
  <c r="G40" i="56" s="1"/>
  <c r="F40" i="56"/>
  <c r="H39" i="56" a="1"/>
  <c r="H39" i="56" s="1"/>
  <c r="G39" i="56" a="1"/>
  <c r="G39" i="56" s="1"/>
  <c r="F39" i="56"/>
  <c r="H36" i="56" a="1"/>
  <c r="H36" i="56" s="1"/>
  <c r="G36" i="56" a="1"/>
  <c r="G36" i="56" s="1"/>
  <c r="F36" i="56"/>
  <c r="H35" i="56" a="1"/>
  <c r="H35" i="56" s="1"/>
  <c r="G35" i="56" a="1"/>
  <c r="G35" i="56" s="1"/>
  <c r="F35" i="56"/>
  <c r="H34" i="56" a="1"/>
  <c r="H34" i="56" s="1"/>
  <c r="G34" i="56" a="1"/>
  <c r="G34" i="56" s="1"/>
  <c r="F34" i="56"/>
  <c r="H33" i="56" a="1"/>
  <c r="H33" i="56" s="1"/>
  <c r="G33" i="56" a="1"/>
  <c r="G33" i="56" s="1"/>
  <c r="F33" i="56"/>
  <c r="H32" i="56" a="1"/>
  <c r="H32" i="56" s="1"/>
  <c r="G32" i="56" a="1"/>
  <c r="G32" i="56" s="1"/>
  <c r="F32" i="56"/>
  <c r="H31" i="56" a="1"/>
  <c r="H31" i="56" s="1"/>
  <c r="G31" i="56" a="1"/>
  <c r="G31" i="56" s="1"/>
  <c r="F31" i="56"/>
  <c r="H30" i="56" a="1"/>
  <c r="H30" i="56" s="1"/>
  <c r="G30" i="56" a="1"/>
  <c r="G30" i="56" s="1"/>
  <c r="F30" i="56"/>
  <c r="H29" i="56" a="1"/>
  <c r="H29" i="56" s="1"/>
  <c r="G29" i="56" a="1"/>
  <c r="G29" i="56" s="1"/>
  <c r="F29" i="56"/>
  <c r="H28" i="56" a="1"/>
  <c r="H28" i="56" s="1"/>
  <c r="G28" i="56" a="1"/>
  <c r="G28" i="56" s="1"/>
  <c r="F28" i="56"/>
  <c r="H27" i="56" a="1"/>
  <c r="H27" i="56" s="1"/>
  <c r="G27" i="56" a="1"/>
  <c r="G27" i="56" s="1"/>
  <c r="F27" i="56"/>
  <c r="H26" i="56" a="1"/>
  <c r="H26" i="56" s="1"/>
  <c r="G26" i="56" a="1"/>
  <c r="G26" i="56" s="1"/>
  <c r="F26" i="56"/>
  <c r="H25" i="56" a="1"/>
  <c r="H25" i="56" s="1"/>
  <c r="G25" i="56" a="1"/>
  <c r="G25" i="56" s="1"/>
  <c r="F25" i="56"/>
  <c r="H24" i="56" a="1"/>
  <c r="H24" i="56" s="1"/>
  <c r="G24" i="56" a="1"/>
  <c r="G24" i="56" s="1"/>
  <c r="F24" i="56"/>
  <c r="H23" i="56" a="1"/>
  <c r="H23" i="56" s="1"/>
  <c r="G23" i="56" a="1"/>
  <c r="G23" i="56" s="1"/>
  <c r="F23" i="56"/>
  <c r="H22" i="56" a="1"/>
  <c r="H22" i="56" s="1"/>
  <c r="G22" i="56" a="1"/>
  <c r="G22" i="56" s="1"/>
  <c r="F22" i="56"/>
  <c r="H21" i="56" a="1"/>
  <c r="H21" i="56" s="1"/>
  <c r="G21" i="56" a="1"/>
  <c r="G21" i="56" s="1"/>
  <c r="F21" i="56"/>
  <c r="H20" i="56" a="1"/>
  <c r="H20" i="56" s="1"/>
  <c r="G20" i="56" a="1"/>
  <c r="G20" i="56" s="1"/>
  <c r="F20" i="56"/>
  <c r="H18" i="56" a="1"/>
  <c r="H18" i="56" s="1"/>
  <c r="G18" i="56" a="1"/>
  <c r="G18" i="56" s="1"/>
  <c r="F18" i="56"/>
  <c r="H17" i="56" a="1"/>
  <c r="H17" i="56" s="1"/>
  <c r="G17" i="56" a="1"/>
  <c r="G17" i="56" s="1"/>
  <c r="F17" i="56"/>
  <c r="H16" i="56" a="1"/>
  <c r="H16" i="56" s="1"/>
  <c r="G16" i="56" a="1"/>
  <c r="G16" i="56" s="1"/>
  <c r="F16" i="56"/>
  <c r="H15" i="56" a="1"/>
  <c r="H15" i="56" s="1"/>
  <c r="G15" i="56" a="1"/>
  <c r="G15" i="56" s="1"/>
  <c r="F15" i="56"/>
  <c r="H14" i="56" a="1"/>
  <c r="H14" i="56" s="1"/>
  <c r="G14" i="56" a="1"/>
  <c r="G14" i="56" s="1"/>
  <c r="F14" i="56"/>
  <c r="H13" i="56" a="1"/>
  <c r="H13" i="56" s="1"/>
  <c r="G13" i="56" a="1"/>
  <c r="G13" i="56" s="1"/>
  <c r="F13" i="56"/>
  <c r="H12" i="56" a="1"/>
  <c r="H12" i="56" s="1"/>
  <c r="G12" i="56" a="1"/>
  <c r="G12" i="56" s="1"/>
  <c r="F12" i="56"/>
  <c r="H11" i="56" a="1"/>
  <c r="H11" i="56" s="1"/>
  <c r="G11" i="56" a="1"/>
  <c r="G11" i="56" s="1"/>
  <c r="F11" i="56"/>
  <c r="H9" i="56" a="1"/>
  <c r="H9" i="56" s="1"/>
  <c r="G9" i="56" a="1"/>
  <c r="G9" i="56" s="1"/>
  <c r="F9" i="56"/>
  <c r="H8" i="56" a="1"/>
  <c r="H8" i="56" s="1"/>
  <c r="G8" i="56" a="1"/>
  <c r="G8" i="56" s="1"/>
  <c r="F8" i="56"/>
  <c r="H7" i="56" a="1"/>
  <c r="H7" i="56" s="1"/>
  <c r="G7" i="56" a="1"/>
  <c r="G7" i="56" s="1"/>
  <c r="F7" i="56"/>
  <c r="M22" i="73"/>
  <c r="N22" i="73"/>
  <c r="O22" i="73"/>
  <c r="P22" i="73"/>
  <c r="M23" i="73"/>
  <c r="N23" i="73"/>
  <c r="O23" i="73"/>
  <c r="M16" i="73"/>
  <c r="N16" i="73"/>
  <c r="O16" i="73"/>
  <c r="P16" i="73"/>
  <c r="L16" i="73"/>
  <c r="K12" i="18"/>
  <c r="K13" i="18"/>
  <c r="K11" i="18"/>
  <c r="O10" i="18"/>
  <c r="M14" i="18"/>
  <c r="E8" i="21"/>
  <c r="E7" i="21"/>
  <c r="E6" i="21"/>
  <c r="B6" i="21"/>
  <c r="O46" i="71"/>
  <c r="E25" i="68"/>
  <c r="D25" i="68"/>
  <c r="C25" i="68"/>
  <c r="B25" i="68"/>
  <c r="F26" i="68"/>
  <c r="E26" i="68"/>
  <c r="D26" i="68"/>
  <c r="C26" i="68"/>
  <c r="B26" i="68"/>
  <c r="E7" i="68"/>
  <c r="D7" i="68"/>
  <c r="C7" i="68"/>
  <c r="B7" i="68"/>
  <c r="C8" i="66" l="1"/>
  <c r="C15" i="66" l="1"/>
  <c r="C16" i="64" l="1"/>
  <c r="C15" i="64"/>
  <c r="Q16" i="64"/>
  <c r="M16" i="64"/>
  <c r="G25" i="64" l="1"/>
  <c r="M25" i="64"/>
  <c r="Q25" i="64"/>
  <c r="G22" i="64" l="1"/>
  <c r="G21" i="64"/>
  <c r="G20" i="64"/>
  <c r="J16" i="64"/>
  <c r="G16" i="64"/>
  <c r="G19" i="64"/>
  <c r="G18" i="64"/>
  <c r="G17" i="64"/>
  <c r="G15" i="64"/>
  <c r="Q19" i="64"/>
  <c r="M19" i="64"/>
  <c r="D5" i="63"/>
  <c r="D6" i="63"/>
  <c r="E64" i="71" l="1"/>
  <c r="E65" i="71" s="1"/>
  <c r="D34" i="21" l="1"/>
  <c r="F34" i="21"/>
  <c r="G34" i="21"/>
  <c r="J28" i="65" l="1"/>
  <c r="H37" i="66"/>
  <c r="H7" i="65" l="1"/>
  <c r="B7" i="65" s="1"/>
  <c r="M18" i="66" l="1"/>
  <c r="H18" i="66" l="1"/>
  <c r="B24" i="66" l="1"/>
  <c r="C23" i="66"/>
  <c r="C22" i="66"/>
  <c r="C21" i="66"/>
  <c r="C24" i="66" l="1"/>
  <c r="M17" i="64"/>
  <c r="C5" i="66" l="1"/>
  <c r="E138" i="54"/>
  <c r="E6" i="19" l="1"/>
  <c r="E7" i="19"/>
  <c r="E5" i="19"/>
  <c r="D6" i="19"/>
  <c r="D7" i="19"/>
  <c r="D5" i="19"/>
  <c r="C6" i="19"/>
  <c r="C7" i="19"/>
  <c r="C5" i="19"/>
  <c r="B6" i="19"/>
  <c r="B7" i="19"/>
  <c r="B5" i="19"/>
  <c r="B10" i="76" l="1"/>
  <c r="I225" i="56" l="1"/>
  <c r="I257" i="56"/>
  <c r="I276" i="56"/>
  <c r="I324" i="56"/>
  <c r="I335" i="56"/>
  <c r="I302" i="56"/>
  <c r="I306" i="56"/>
  <c r="I273" i="56"/>
  <c r="I279" i="56"/>
  <c r="I292" i="56"/>
  <c r="I312" i="56"/>
  <c r="I328" i="56"/>
  <c r="I332" i="56"/>
  <c r="I235" i="56"/>
  <c r="I243" i="56"/>
  <c r="I285" i="56"/>
  <c r="I316" i="56"/>
  <c r="I301" i="56"/>
  <c r="I267" i="56"/>
  <c r="I284" i="56"/>
  <c r="I320" i="56"/>
  <c r="I313" i="56"/>
  <c r="I321" i="56"/>
  <c r="I144" i="56"/>
  <c r="I148" i="56"/>
  <c r="I152" i="56"/>
  <c r="I156" i="56"/>
  <c r="I160" i="56"/>
  <c r="I164" i="56"/>
  <c r="I168" i="56"/>
  <c r="I214" i="56"/>
  <c r="I218" i="56"/>
  <c r="I222" i="56"/>
  <c r="I228" i="56"/>
  <c r="I232" i="56"/>
  <c r="I240" i="56"/>
  <c r="I248" i="56"/>
  <c r="I290" i="56"/>
  <c r="I294" i="56"/>
  <c r="I298" i="56"/>
  <c r="I311" i="56"/>
  <c r="I314" i="56"/>
  <c r="I319" i="56"/>
  <c r="I322" i="56"/>
  <c r="I327" i="56"/>
  <c r="I330" i="56"/>
  <c r="I221" i="56"/>
  <c r="I231" i="56"/>
  <c r="I239" i="56"/>
  <c r="I247" i="56"/>
  <c r="I293" i="56"/>
  <c r="I304" i="56"/>
  <c r="I317" i="56"/>
  <c r="I325" i="56"/>
  <c r="I333" i="56"/>
  <c r="I329" i="56"/>
  <c r="I212" i="56"/>
  <c r="I216" i="56"/>
  <c r="I220" i="56"/>
  <c r="I224" i="56"/>
  <c r="I236" i="56"/>
  <c r="I244" i="56"/>
  <c r="I253" i="56"/>
  <c r="I258" i="56"/>
  <c r="I262" i="56"/>
  <c r="I263" i="56"/>
  <c r="I265" i="56"/>
  <c r="I271" i="56"/>
  <c r="I286" i="56"/>
  <c r="I288" i="56"/>
  <c r="I296" i="56"/>
  <c r="I310" i="56"/>
  <c r="I315" i="56"/>
  <c r="I318" i="56"/>
  <c r="I323" i="56"/>
  <c r="I326" i="56"/>
  <c r="I331" i="56"/>
  <c r="I334" i="56"/>
  <c r="I227" i="56"/>
  <c r="I252" i="56"/>
  <c r="I261" i="56"/>
  <c r="I266" i="56"/>
  <c r="I270" i="56"/>
  <c r="I278" i="56"/>
  <c r="I251" i="56"/>
  <c r="I260" i="56"/>
  <c r="I269" i="56"/>
  <c r="I277" i="56"/>
  <c r="I281" i="56"/>
  <c r="I282" i="56"/>
  <c r="I308" i="56"/>
  <c r="I223" i="56"/>
  <c r="I229" i="56"/>
  <c r="I254" i="56"/>
  <c r="I255" i="56"/>
  <c r="I259" i="56"/>
  <c r="I268" i="56"/>
  <c r="I280" i="56"/>
  <c r="I300" i="56"/>
  <c r="E10" i="76"/>
  <c r="H10" i="76" s="1"/>
  <c r="C12" i="73"/>
  <c r="L22" i="73" s="1"/>
  <c r="I217" i="56"/>
  <c r="I213" i="56"/>
  <c r="I215" i="56"/>
  <c r="I219" i="56"/>
  <c r="I226" i="56"/>
  <c r="I295" i="56"/>
  <c r="I303" i="56"/>
  <c r="I233" i="56"/>
  <c r="I237" i="56"/>
  <c r="I241" i="56"/>
  <c r="I245" i="56"/>
  <c r="I249" i="56"/>
  <c r="I283" i="56"/>
  <c r="I289" i="56"/>
  <c r="I297" i="56"/>
  <c r="I305" i="56"/>
  <c r="I287" i="56"/>
  <c r="I234" i="56"/>
  <c r="I238" i="56"/>
  <c r="I242" i="56"/>
  <c r="I246" i="56"/>
  <c r="I256" i="56"/>
  <c r="I264" i="56"/>
  <c r="I272" i="56"/>
  <c r="I291" i="56"/>
  <c r="I299" i="56"/>
  <c r="I307" i="56"/>
  <c r="I83" i="56"/>
  <c r="I143" i="56"/>
  <c r="I147" i="56"/>
  <c r="I151" i="56"/>
  <c r="I155" i="56"/>
  <c r="I159" i="56"/>
  <c r="I163" i="56"/>
  <c r="I167" i="56"/>
  <c r="I79" i="56"/>
  <c r="I89" i="56"/>
  <c r="I110" i="56"/>
  <c r="I114" i="56"/>
  <c r="I118" i="56"/>
  <c r="I122" i="56"/>
  <c r="I126" i="56"/>
  <c r="I130" i="56"/>
  <c r="I134" i="56"/>
  <c r="I87" i="56"/>
  <c r="I142" i="56"/>
  <c r="I146" i="56"/>
  <c r="I150" i="56"/>
  <c r="I154" i="56"/>
  <c r="I158" i="56"/>
  <c r="I162" i="56"/>
  <c r="I166" i="56"/>
  <c r="I178" i="56"/>
  <c r="I81" i="56"/>
  <c r="I138" i="56"/>
  <c r="I171" i="56"/>
  <c r="I77" i="56"/>
  <c r="I75" i="56"/>
  <c r="I85" i="56"/>
  <c r="I105" i="56"/>
  <c r="I112" i="56"/>
  <c r="I141" i="56"/>
  <c r="I145" i="56"/>
  <c r="I149" i="56"/>
  <c r="I153" i="56"/>
  <c r="I157" i="56"/>
  <c r="I161" i="56"/>
  <c r="I165" i="56"/>
  <c r="I169" i="56"/>
  <c r="I175" i="56"/>
  <c r="I173" i="56"/>
  <c r="I182" i="56"/>
  <c r="I184" i="56"/>
  <c r="I188" i="56"/>
  <c r="I192" i="56"/>
  <c r="I196" i="56"/>
  <c r="I200" i="56"/>
  <c r="I206" i="56"/>
  <c r="I68" i="56"/>
  <c r="I69" i="56"/>
  <c r="I72" i="56"/>
  <c r="I73" i="56"/>
  <c r="I106" i="56"/>
  <c r="I113" i="56"/>
  <c r="I117" i="56"/>
  <c r="I121" i="56"/>
  <c r="I125" i="56"/>
  <c r="I129" i="56"/>
  <c r="I133" i="56"/>
  <c r="I137" i="56"/>
  <c r="I177" i="56"/>
  <c r="I204" i="56"/>
  <c r="I116" i="56"/>
  <c r="I120" i="56"/>
  <c r="I124" i="56"/>
  <c r="I128" i="56"/>
  <c r="I132" i="56"/>
  <c r="I136" i="56"/>
  <c r="I170" i="56"/>
  <c r="I181" i="56"/>
  <c r="I183" i="56"/>
  <c r="I185" i="56"/>
  <c r="I187" i="56"/>
  <c r="I189" i="56"/>
  <c r="I191" i="56"/>
  <c r="I193" i="56"/>
  <c r="I195" i="56"/>
  <c r="I197" i="56"/>
  <c r="I199" i="56"/>
  <c r="I201" i="56"/>
  <c r="I203" i="56"/>
  <c r="I205" i="56"/>
  <c r="I180" i="56"/>
  <c r="I186" i="56"/>
  <c r="I190" i="56"/>
  <c r="I194" i="56"/>
  <c r="I198" i="56"/>
  <c r="I202" i="56"/>
  <c r="I67" i="56"/>
  <c r="I71" i="56"/>
  <c r="I84" i="56"/>
  <c r="I86" i="56"/>
  <c r="I88" i="56"/>
  <c r="I90" i="56"/>
  <c r="I92" i="56"/>
  <c r="I94" i="56"/>
  <c r="I96" i="56"/>
  <c r="I98" i="56"/>
  <c r="I100" i="56"/>
  <c r="I102" i="56"/>
  <c r="I111" i="56"/>
  <c r="I115" i="56"/>
  <c r="I119" i="56"/>
  <c r="I123" i="56"/>
  <c r="I127" i="56"/>
  <c r="I131" i="56"/>
  <c r="I135" i="56"/>
  <c r="I66" i="56"/>
  <c r="I70" i="56"/>
  <c r="I74" i="56"/>
  <c r="I76" i="56"/>
  <c r="I78" i="56"/>
  <c r="I80" i="56"/>
  <c r="I91" i="56"/>
  <c r="I93" i="56"/>
  <c r="I95" i="56"/>
  <c r="I97" i="56"/>
  <c r="I99" i="56"/>
  <c r="I101" i="56"/>
  <c r="I172" i="56"/>
  <c r="I103" i="56"/>
  <c r="I107" i="56"/>
  <c r="I174" i="56"/>
  <c r="I104" i="56"/>
  <c r="I176" i="56"/>
  <c r="I16" i="56"/>
  <c r="I42" i="56"/>
  <c r="I7" i="56"/>
  <c r="I12" i="56"/>
  <c r="I44" i="56"/>
  <c r="I40" i="56"/>
  <c r="I48" i="56"/>
  <c r="I46" i="56"/>
  <c r="I59" i="56"/>
  <c r="I39" i="56"/>
  <c r="I41" i="56"/>
  <c r="I43" i="56"/>
  <c r="I45" i="56"/>
  <c r="I47" i="56"/>
  <c r="I53" i="56"/>
  <c r="I52" i="56"/>
  <c r="I54" i="56"/>
  <c r="I56" i="56"/>
  <c r="I58" i="56"/>
  <c r="I60" i="56"/>
  <c r="I51" i="56"/>
  <c r="I55" i="56"/>
  <c r="I57" i="56"/>
  <c r="I20" i="56"/>
  <c r="I24" i="56"/>
  <c r="I28" i="56"/>
  <c r="I32" i="56"/>
  <c r="I9" i="56"/>
  <c r="I22" i="56"/>
  <c r="I26" i="56"/>
  <c r="I30" i="56"/>
  <c r="I34" i="56"/>
  <c r="I23" i="56"/>
  <c r="I27" i="56"/>
  <c r="I31" i="56"/>
  <c r="I36" i="56"/>
  <c r="I11" i="56"/>
  <c r="I15" i="56"/>
  <c r="I21" i="56"/>
  <c r="I14" i="56"/>
  <c r="I18" i="56"/>
  <c r="I25" i="56"/>
  <c r="I29" i="56"/>
  <c r="I33" i="56"/>
  <c r="I35" i="56"/>
  <c r="I8" i="56"/>
  <c r="I13" i="56"/>
  <c r="I17" i="56"/>
  <c r="I109" i="56" l="1"/>
  <c r="I336" i="56"/>
  <c r="I274" i="56"/>
  <c r="I230" i="56"/>
  <c r="I250" i="56"/>
  <c r="I275" i="56" s="1"/>
  <c r="I309" i="56"/>
  <c r="I337" i="56"/>
  <c r="I139" i="56"/>
  <c r="I179" i="56"/>
  <c r="I10" i="56"/>
  <c r="I207" i="56"/>
  <c r="I82" i="56"/>
  <c r="I19" i="56"/>
  <c r="I61" i="56"/>
  <c r="I37" i="56"/>
  <c r="I208" i="56" l="1"/>
  <c r="I140" i="56"/>
  <c r="I62" i="56"/>
  <c r="F345" i="56" s="1"/>
  <c r="I38" i="56"/>
  <c r="J15" i="66"/>
  <c r="C16" i="66"/>
  <c r="J16" i="66" s="1"/>
  <c r="C17" i="66"/>
  <c r="B14" i="66"/>
  <c r="C4" i="66" l="1"/>
  <c r="B18" i="66"/>
  <c r="C14" i="66"/>
  <c r="F51" i="66"/>
  <c r="C39" i="73" s="1"/>
  <c r="F49" i="66"/>
  <c r="E39" i="73" s="1"/>
  <c r="F50" i="66"/>
  <c r="D39" i="73" s="1"/>
  <c r="C18" i="66" l="1"/>
  <c r="J14" i="66"/>
  <c r="F39" i="73"/>
  <c r="Q17" i="64" l="1"/>
  <c r="Q18" i="64"/>
  <c r="Q20" i="64"/>
  <c r="Q21" i="64"/>
  <c r="Q22" i="64"/>
  <c r="Q23" i="64"/>
  <c r="Q24" i="64"/>
  <c r="Q15" i="64"/>
  <c r="Q12" i="18"/>
  <c r="Q13" i="18"/>
  <c r="Q11" i="18"/>
  <c r="C13" i="64" l="1"/>
  <c r="C14" i="64"/>
  <c r="H22" i="65"/>
  <c r="H36" i="68" s="1"/>
  <c r="H37" i="68" l="1"/>
  <c r="F28" i="65" l="1"/>
  <c r="E17" i="65"/>
  <c r="F21" i="65"/>
  <c r="M24" i="64"/>
  <c r="G7" i="67"/>
  <c r="F7" i="67"/>
  <c r="I7" i="67" l="1"/>
  <c r="C6" i="20"/>
  <c r="C24" i="76" l="1"/>
  <c r="E32" i="70"/>
  <c r="A24" i="76"/>
  <c r="J11" i="76"/>
  <c r="D18" i="76"/>
  <c r="I14" i="20"/>
  <c r="A47" i="66"/>
  <c r="A48" i="66"/>
  <c r="A49" i="66"/>
  <c r="A50" i="66"/>
  <c r="A51" i="66"/>
  <c r="A52" i="66"/>
  <c r="A46" i="66"/>
  <c r="L16" i="71"/>
  <c r="E14" i="18"/>
  <c r="B14" i="18"/>
  <c r="H13" i="18" l="1"/>
  <c r="G13" i="18"/>
  <c r="F13" i="18"/>
  <c r="H12" i="18"/>
  <c r="F12" i="18"/>
  <c r="H11" i="18"/>
  <c r="G11" i="18"/>
  <c r="F11" i="18"/>
  <c r="I13" i="18" l="1"/>
  <c r="I11" i="18"/>
  <c r="J18" i="66"/>
  <c r="L17" i="66" l="1"/>
  <c r="N17" i="66" s="1"/>
  <c r="G39" i="73"/>
  <c r="E15" i="66"/>
  <c r="E16" i="66"/>
  <c r="E17" i="66"/>
  <c r="E14" i="66"/>
  <c r="C9" i="76" l="1"/>
  <c r="D11" i="73" s="1"/>
  <c r="M21" i="73" s="1"/>
  <c r="C23" i="76" l="1"/>
  <c r="D144" i="54"/>
  <c r="D145" i="54"/>
  <c r="D146" i="54"/>
  <c r="D147" i="54"/>
  <c r="D148" i="54"/>
  <c r="D149" i="54"/>
  <c r="D150" i="54"/>
  <c r="D151" i="54"/>
  <c r="E152" i="54"/>
  <c r="F152" i="54"/>
  <c r="G152" i="54"/>
  <c r="G153" i="54" l="1"/>
  <c r="D152" i="54"/>
  <c r="D153" i="54" s="1"/>
  <c r="M21" i="64"/>
  <c r="M20" i="64"/>
  <c r="M18" i="64"/>
  <c r="M15" i="64"/>
  <c r="B33" i="21" l="1"/>
  <c r="B32" i="21"/>
  <c r="B31" i="21"/>
  <c r="P18" i="71" l="1"/>
  <c r="P19" i="71"/>
  <c r="N2" i="71"/>
  <c r="P2" i="71" s="1"/>
  <c r="L35" i="71"/>
  <c r="N35" i="71"/>
  <c r="N17" i="71"/>
  <c r="N16" i="71"/>
  <c r="L17" i="71"/>
  <c r="L2" i="71"/>
  <c r="H33" i="66" l="1"/>
  <c r="H6" i="65" l="1"/>
  <c r="B6" i="65" s="1"/>
  <c r="H19" i="65" l="1"/>
  <c r="C4" i="68" s="1"/>
  <c r="H8" i="65"/>
  <c r="B8" i="65" s="1"/>
  <c r="H14" i="65" l="1"/>
  <c r="C14" i="18" l="1"/>
  <c r="G12" i="18" l="1"/>
  <c r="I12" i="18" s="1"/>
  <c r="D14" i="18"/>
  <c r="M22" i="64" l="1"/>
  <c r="G23" i="64"/>
  <c r="M23" i="64" s="1"/>
  <c r="F10" i="18" l="1"/>
  <c r="G10" i="18"/>
  <c r="H10" i="18"/>
  <c r="B6" i="64" l="1"/>
  <c r="B8" i="64" s="1"/>
  <c r="I10" i="18"/>
  <c r="H11" i="65"/>
  <c r="H12" i="65"/>
  <c r="H13" i="65"/>
  <c r="H9" i="65" l="1"/>
  <c r="B9" i="65" s="1"/>
  <c r="H5" i="65"/>
  <c r="B5" i="65" l="1"/>
  <c r="O43" i="71"/>
  <c r="O44" i="71"/>
  <c r="O45" i="71"/>
  <c r="O42" i="71"/>
  <c r="N3" i="71" l="1"/>
  <c r="N4" i="71"/>
  <c r="N5" i="71"/>
  <c r="N6" i="71"/>
  <c r="N7" i="71"/>
  <c r="N8" i="71"/>
  <c r="N9" i="71"/>
  <c r="N10" i="71"/>
  <c r="N11" i="71"/>
  <c r="N12" i="71"/>
  <c r="N13" i="71"/>
  <c r="N14" i="71"/>
  <c r="N15" i="71"/>
  <c r="N20" i="71"/>
  <c r="N21" i="71"/>
  <c r="N22" i="71"/>
  <c r="N23" i="71"/>
  <c r="N24" i="71"/>
  <c r="N25" i="71"/>
  <c r="N26" i="71"/>
  <c r="N27" i="71"/>
  <c r="N28" i="71"/>
  <c r="N29" i="71"/>
  <c r="N30" i="71"/>
  <c r="N31" i="71"/>
  <c r="N32" i="71"/>
  <c r="N33" i="71"/>
  <c r="N34" i="71"/>
  <c r="L3" i="71"/>
  <c r="L4" i="71"/>
  <c r="L5" i="71"/>
  <c r="L6" i="71"/>
  <c r="L7" i="71"/>
  <c r="L8" i="71"/>
  <c r="L9" i="71"/>
  <c r="L10" i="71"/>
  <c r="L11" i="71"/>
  <c r="L12" i="71"/>
  <c r="L13" i="71"/>
  <c r="L14" i="71"/>
  <c r="L15" i="71"/>
  <c r="L20" i="71"/>
  <c r="L21" i="71"/>
  <c r="L22" i="71"/>
  <c r="L23" i="71"/>
  <c r="L24" i="71"/>
  <c r="L25" i="71"/>
  <c r="L26" i="71"/>
  <c r="L27" i="71"/>
  <c r="L28" i="71"/>
  <c r="L29" i="71"/>
  <c r="L30" i="71"/>
  <c r="L31" i="71"/>
  <c r="L32" i="71"/>
  <c r="L33" i="71"/>
  <c r="L34" i="71"/>
  <c r="P29" i="71" l="1"/>
  <c r="O29" i="71"/>
  <c r="O20" i="71"/>
  <c r="P20" i="71"/>
  <c r="N43" i="71"/>
  <c r="P4" i="71"/>
  <c r="P34" i="71"/>
  <c r="O34" i="71"/>
  <c r="O30" i="71"/>
  <c r="P30" i="71"/>
  <c r="P35" i="71"/>
  <c r="O35" i="71"/>
  <c r="P15" i="71"/>
  <c r="O15" i="71"/>
  <c r="P14" i="71"/>
  <c r="P33" i="71"/>
  <c r="O33" i="71"/>
  <c r="O14" i="71"/>
  <c r="O24" i="71"/>
  <c r="P31" i="71"/>
  <c r="O31" i="71"/>
  <c r="P6" i="71"/>
  <c r="P24" i="71"/>
  <c r="P12" i="71"/>
  <c r="P13" i="71"/>
  <c r="P21" i="71"/>
  <c r="O21" i="71"/>
  <c r="P25" i="71"/>
  <c r="P10" i="71"/>
  <c r="O26" i="71"/>
  <c r="P26" i="71"/>
  <c r="O28" i="71"/>
  <c r="P9" i="71"/>
  <c r="O25" i="71"/>
  <c r="P28" i="71"/>
  <c r="P11" i="71"/>
  <c r="O23" i="71"/>
  <c r="P23" i="71"/>
  <c r="P5" i="71"/>
  <c r="N45" i="71"/>
  <c r="P7" i="71"/>
  <c r="O27" i="71"/>
  <c r="P27" i="71"/>
  <c r="P8" i="71"/>
  <c r="P3" i="71"/>
  <c r="N42" i="71"/>
  <c r="O22" i="71"/>
  <c r="P22" i="71"/>
  <c r="P16" i="71"/>
  <c r="P32" i="71"/>
  <c r="P17" i="71"/>
  <c r="O32" i="71"/>
  <c r="O16" i="71"/>
  <c r="O37" i="71"/>
  <c r="N44" i="71"/>
  <c r="O17" i="71"/>
  <c r="O10" i="71"/>
  <c r="O9" i="71"/>
  <c r="O11" i="71"/>
  <c r="O5" i="71"/>
  <c r="O6" i="71"/>
  <c r="O12" i="71"/>
  <c r="O13" i="71"/>
  <c r="M13" i="20"/>
  <c r="O2" i="71"/>
  <c r="O36" i="71"/>
  <c r="M12" i="20"/>
  <c r="O4" i="71"/>
  <c r="O8" i="71"/>
  <c r="O7" i="71"/>
  <c r="O3" i="71"/>
  <c r="I7" i="19"/>
  <c r="G7" i="19"/>
  <c r="H7" i="19"/>
  <c r="F7" i="19"/>
  <c r="I6" i="19"/>
  <c r="G6" i="19"/>
  <c r="H6" i="19"/>
  <c r="F6" i="19"/>
  <c r="I5" i="19"/>
  <c r="N46" i="71" l="1"/>
  <c r="M11" i="20"/>
  <c r="H5" i="19"/>
  <c r="D8" i="19"/>
  <c r="E8" i="19"/>
  <c r="C8" i="19"/>
  <c r="G5" i="19"/>
  <c r="F5" i="19"/>
  <c r="B8" i="19"/>
  <c r="C7" i="20" l="1"/>
  <c r="M14" i="20"/>
  <c r="N14" i="20" s="1"/>
  <c r="B9" i="76" s="1"/>
  <c r="M16" i="20" l="1"/>
  <c r="H38" i="66" l="1"/>
  <c r="K14" i="70" l="1"/>
  <c r="M14" i="70" s="1"/>
  <c r="K11" i="70"/>
  <c r="M11" i="70" s="1"/>
  <c r="D7" i="76" s="1"/>
  <c r="D21" i="76" s="1"/>
  <c r="K10" i="70"/>
  <c r="M10" i="70" s="1"/>
  <c r="D6" i="76" s="1"/>
  <c r="D20" i="76" s="1"/>
  <c r="K9" i="70"/>
  <c r="M9" i="70" s="1"/>
  <c r="D5" i="76" s="1"/>
  <c r="E11" i="70"/>
  <c r="D9" i="76" l="1"/>
  <c r="D23" i="76" s="1"/>
  <c r="D19" i="76"/>
  <c r="D22" i="76" s="1"/>
  <c r="D8" i="76"/>
  <c r="K16" i="70"/>
  <c r="B4" i="70"/>
  <c r="E36" i="70"/>
  <c r="M15" i="70"/>
  <c r="D12" i="76" l="1"/>
  <c r="D25" i="76"/>
  <c r="D6" i="72"/>
  <c r="D27" i="76" l="1"/>
  <c r="G38" i="66"/>
  <c r="B6" i="72"/>
  <c r="B13" i="72" s="1"/>
  <c r="O8" i="72"/>
  <c r="O7" i="72"/>
  <c r="O6" i="72"/>
  <c r="H9" i="18"/>
  <c r="H8" i="18"/>
  <c r="G7" i="18"/>
  <c r="F9" i="18"/>
  <c r="F8" i="18"/>
  <c r="F7" i="18"/>
  <c r="F14" i="18" l="1"/>
  <c r="B34" i="21"/>
  <c r="E9" i="76"/>
  <c r="D39" i="21"/>
  <c r="E38" i="21"/>
  <c r="F37" i="21"/>
  <c r="L16" i="70"/>
  <c r="K20" i="70" l="1"/>
  <c r="M16" i="70"/>
  <c r="D16" i="64"/>
  <c r="D14" i="64"/>
  <c r="D15" i="64"/>
  <c r="D13" i="64"/>
  <c r="K13" i="20"/>
  <c r="K12" i="20"/>
  <c r="K11" i="20"/>
  <c r="D37" i="21"/>
  <c r="B8" i="21"/>
  <c r="D8" i="21" s="1"/>
  <c r="B7" i="21"/>
  <c r="D7" i="21" s="1"/>
  <c r="D6" i="21"/>
  <c r="E37" i="21"/>
  <c r="F38" i="21"/>
  <c r="E39" i="21"/>
  <c r="F39" i="21"/>
  <c r="D38" i="21"/>
  <c r="G9" i="18"/>
  <c r="I9" i="18" s="1"/>
  <c r="E13" i="70"/>
  <c r="F9" i="67"/>
  <c r="F8" i="67"/>
  <c r="C6" i="64"/>
  <c r="B7" i="72"/>
  <c r="B14" i="72" s="1"/>
  <c r="C7" i="72"/>
  <c r="C14" i="72" s="1"/>
  <c r="D7" i="72"/>
  <c r="D14" i="72" s="1"/>
  <c r="B8" i="72"/>
  <c r="B15" i="72" s="1"/>
  <c r="C8" i="72"/>
  <c r="C15" i="72" s="1"/>
  <c r="C20" i="72" s="1"/>
  <c r="D8" i="72"/>
  <c r="D15" i="72" s="1"/>
  <c r="C6" i="72"/>
  <c r="C13" i="72" s="1"/>
  <c r="D13" i="72"/>
  <c r="F12" i="68"/>
  <c r="F7" i="68"/>
  <c r="F8" i="68"/>
  <c r="F9" i="68"/>
  <c r="F10" i="68"/>
  <c r="B11" i="68"/>
  <c r="F11" i="68" s="1"/>
  <c r="F15" i="68"/>
  <c r="B16" i="68"/>
  <c r="F16" i="68" s="1"/>
  <c r="L9" i="72"/>
  <c r="M9" i="72"/>
  <c r="N9" i="72"/>
  <c r="O12" i="72"/>
  <c r="O13" i="72"/>
  <c r="O14" i="72"/>
  <c r="L15" i="72"/>
  <c r="M15" i="72"/>
  <c r="N15" i="72"/>
  <c r="G8" i="67"/>
  <c r="G9" i="67"/>
  <c r="B10" i="67"/>
  <c r="C10" i="67"/>
  <c r="D10" i="67"/>
  <c r="E10" i="67"/>
  <c r="H7" i="18"/>
  <c r="H14" i="18" s="1"/>
  <c r="G8" i="18"/>
  <c r="F12" i="21"/>
  <c r="F14" i="21" s="1"/>
  <c r="F16" i="21" s="1"/>
  <c r="F19" i="21"/>
  <c r="F20" i="21" s="1"/>
  <c r="H10" i="65"/>
  <c r="B11" i="65"/>
  <c r="B20" i="65"/>
  <c r="B21" i="65"/>
  <c r="F15" i="65"/>
  <c r="H15" i="65" s="1"/>
  <c r="H20" i="65"/>
  <c r="D4" i="68" s="1"/>
  <c r="F21" i="68" s="1"/>
  <c r="H21" i="65"/>
  <c r="B23" i="65" s="1"/>
  <c r="H25" i="65"/>
  <c r="D17" i="63" s="1"/>
  <c r="H26" i="65"/>
  <c r="F17" i="68"/>
  <c r="B19" i="72" l="1"/>
  <c r="D18" i="72"/>
  <c r="B20" i="72"/>
  <c r="C18" i="72"/>
  <c r="B18" i="72"/>
  <c r="D19" i="72"/>
  <c r="D20" i="72"/>
  <c r="C19" i="72"/>
  <c r="F14" i="76"/>
  <c r="B4" i="68"/>
  <c r="B10" i="65"/>
  <c r="B12" i="65" s="1"/>
  <c r="H28" i="65"/>
  <c r="D14" i="76"/>
  <c r="D15" i="76" s="1"/>
  <c r="C14" i="76"/>
  <c r="G14" i="18"/>
  <c r="B24" i="65"/>
  <c r="C17" i="63"/>
  <c r="D157" i="54"/>
  <c r="D21" i="63" s="1"/>
  <c r="E21" i="63" s="1"/>
  <c r="B18" i="68"/>
  <c r="B19" i="68" s="1"/>
  <c r="E40" i="21"/>
  <c r="I7" i="18"/>
  <c r="I8" i="18"/>
  <c r="K8" i="18" s="1"/>
  <c r="E13" i="68"/>
  <c r="D158" i="54"/>
  <c r="D156" i="54"/>
  <c r="D20" i="63" s="1"/>
  <c r="E20" i="63" s="1"/>
  <c r="C7" i="63" s="1"/>
  <c r="I9" i="67"/>
  <c r="D40" i="21"/>
  <c r="J16" i="65"/>
  <c r="D3" i="66"/>
  <c r="I8" i="67"/>
  <c r="D155" i="54"/>
  <c r="F40" i="21"/>
  <c r="E18" i="68"/>
  <c r="F10" i="67"/>
  <c r="C18" i="68"/>
  <c r="D18" i="68"/>
  <c r="G10" i="67"/>
  <c r="B3" i="70"/>
  <c r="E37" i="70" s="1"/>
  <c r="H8" i="19"/>
  <c r="J7" i="19"/>
  <c r="I347" i="56" s="1"/>
  <c r="J6" i="19"/>
  <c r="I346" i="56" s="1"/>
  <c r="F8" i="19"/>
  <c r="J5" i="19"/>
  <c r="F11" i="20" s="1"/>
  <c r="I8" i="19"/>
  <c r="G8" i="19"/>
  <c r="D13" i="68"/>
  <c r="B13" i="68"/>
  <c r="C13" i="68"/>
  <c r="K16" i="20"/>
  <c r="C20" i="73"/>
  <c r="C19" i="73"/>
  <c r="C22" i="73"/>
  <c r="D9" i="21"/>
  <c r="B9" i="21"/>
  <c r="K7" i="18" l="1"/>
  <c r="K10" i="18"/>
  <c r="K9" i="18"/>
  <c r="D4" i="66"/>
  <c r="D5" i="66" s="1"/>
  <c r="D18" i="63"/>
  <c r="E18" i="63" s="1"/>
  <c r="C5" i="63" s="1"/>
  <c r="G14" i="76"/>
  <c r="I14" i="18"/>
  <c r="J7" i="18" s="1"/>
  <c r="B9" i="64"/>
  <c r="B17" i="65"/>
  <c r="C21" i="63"/>
  <c r="D8" i="63" s="1"/>
  <c r="F18" i="68"/>
  <c r="C8" i="63"/>
  <c r="I10" i="67"/>
  <c r="I15" i="67" s="1"/>
  <c r="F13" i="20"/>
  <c r="C20" i="63"/>
  <c r="D7" i="63" s="1"/>
  <c r="G9" i="19"/>
  <c r="C355" i="56" s="1"/>
  <c r="K19" i="70"/>
  <c r="B5" i="70"/>
  <c r="E33" i="70" s="1"/>
  <c r="D19" i="63"/>
  <c r="D159" i="54"/>
  <c r="J339" i="56"/>
  <c r="L339" i="56" s="1"/>
  <c r="C19" i="68"/>
  <c r="E19" i="68"/>
  <c r="H10" i="67"/>
  <c r="F12" i="20"/>
  <c r="G10" i="19"/>
  <c r="C358" i="56" s="1"/>
  <c r="I345" i="56"/>
  <c r="J8" i="19"/>
  <c r="J14" i="19" s="1"/>
  <c r="D19" i="68"/>
  <c r="F13" i="68"/>
  <c r="C18" i="73"/>
  <c r="C21" i="73" s="1"/>
  <c r="C23" i="73" s="1"/>
  <c r="K17" i="70"/>
  <c r="J340" i="56"/>
  <c r="F19" i="68" l="1"/>
  <c r="G7" i="76"/>
  <c r="G21" i="76" s="1"/>
  <c r="F9" i="73"/>
  <c r="O19" i="73" s="1"/>
  <c r="G6" i="76"/>
  <c r="G20" i="76" s="1"/>
  <c r="F8" i="73"/>
  <c r="O18" i="73" s="1"/>
  <c r="C18" i="63"/>
  <c r="K5" i="76"/>
  <c r="F16" i="20"/>
  <c r="J13" i="18"/>
  <c r="J11" i="18"/>
  <c r="J12" i="18"/>
  <c r="J10" i="18"/>
  <c r="J9" i="18"/>
  <c r="J8" i="18"/>
  <c r="E9" i="21"/>
  <c r="D358" i="56"/>
  <c r="F346" i="56"/>
  <c r="D20" i="68"/>
  <c r="I16" i="67"/>
  <c r="I17" i="67" s="1"/>
  <c r="F347" i="56"/>
  <c r="C346" i="56"/>
  <c r="G11" i="19"/>
  <c r="B22" i="65"/>
  <c r="E19" i="63"/>
  <c r="D22" i="63"/>
  <c r="J341" i="56"/>
  <c r="H7" i="67"/>
  <c r="H9" i="67"/>
  <c r="H8" i="67"/>
  <c r="C4" i="20"/>
  <c r="I348" i="56"/>
  <c r="C347" i="56"/>
  <c r="G9" i="76" l="1"/>
  <c r="G23" i="76" s="1"/>
  <c r="F11" i="73"/>
  <c r="O21" i="73" s="1"/>
  <c r="B14" i="76"/>
  <c r="E14" i="76"/>
  <c r="D3" i="20"/>
  <c r="D4" i="20" s="1"/>
  <c r="J14" i="18"/>
  <c r="D21" i="68"/>
  <c r="D24" i="68"/>
  <c r="D23" i="68" s="1"/>
  <c r="C6" i="66"/>
  <c r="C20" i="68"/>
  <c r="E20" i="68"/>
  <c r="C10" i="63"/>
  <c r="D24" i="63"/>
  <c r="F348" i="56"/>
  <c r="G345" i="56" s="1"/>
  <c r="B20" i="68"/>
  <c r="I340" i="56"/>
  <c r="L340" i="56" s="1"/>
  <c r="I339" i="56"/>
  <c r="H5" i="72"/>
  <c r="C26" i="72" s="1"/>
  <c r="K7" i="67"/>
  <c r="J11" i="20" s="1"/>
  <c r="L7" i="67"/>
  <c r="I14" i="66" s="1"/>
  <c r="C345" i="56"/>
  <c r="C348" i="56" s="1"/>
  <c r="D346" i="56" s="1"/>
  <c r="K9" i="67"/>
  <c r="J13" i="20" s="1"/>
  <c r="L9" i="67"/>
  <c r="I16" i="66" s="1"/>
  <c r="E22" i="63"/>
  <c r="C6" i="63"/>
  <c r="C9" i="63" s="1"/>
  <c r="C19" i="63"/>
  <c r="K8" i="67"/>
  <c r="J12" i="20" s="1"/>
  <c r="L8" i="67"/>
  <c r="I15" i="66" s="1"/>
  <c r="I349" i="56"/>
  <c r="D22" i="68" l="1"/>
  <c r="D27" i="68"/>
  <c r="F34" i="68" s="1"/>
  <c r="C22" i="63"/>
  <c r="I18" i="66"/>
  <c r="B25" i="65"/>
  <c r="B21" i="68"/>
  <c r="B27" i="68" s="1"/>
  <c r="F36" i="68" s="1"/>
  <c r="B24" i="68"/>
  <c r="E21" i="68"/>
  <c r="E27" i="68" s="1"/>
  <c r="F35" i="68" s="1"/>
  <c r="E24" i="68"/>
  <c r="E23" i="68" s="1"/>
  <c r="C21" i="68"/>
  <c r="C27" i="68" s="1"/>
  <c r="F33" i="68" s="1"/>
  <c r="C24" i="68"/>
  <c r="C23" i="68" s="1"/>
  <c r="G347" i="56"/>
  <c r="G346" i="56"/>
  <c r="F20" i="68"/>
  <c r="I341" i="56"/>
  <c r="D347" i="56"/>
  <c r="F349" i="56"/>
  <c r="D345" i="56"/>
  <c r="D6" i="66"/>
  <c r="C24" i="72"/>
  <c r="D26" i="72"/>
  <c r="D24" i="72"/>
  <c r="B25" i="72"/>
  <c r="B26" i="72"/>
  <c r="F26" i="72" s="1"/>
  <c r="C25" i="72"/>
  <c r="B24" i="72"/>
  <c r="D25" i="72"/>
  <c r="J16" i="20"/>
  <c r="F24" i="72" l="1"/>
  <c r="F25" i="72"/>
  <c r="G25" i="72" s="1"/>
  <c r="L12" i="20" s="1"/>
  <c r="G5" i="76"/>
  <c r="F7" i="73"/>
  <c r="D9" i="63"/>
  <c r="I34" i="68"/>
  <c r="F6" i="76" s="1"/>
  <c r="F20" i="76" s="1"/>
  <c r="E8" i="73"/>
  <c r="N18" i="73" s="1"/>
  <c r="E22" i="68"/>
  <c r="C22" i="68"/>
  <c r="B22" i="68"/>
  <c r="F24" i="68"/>
  <c r="B23" i="68"/>
  <c r="G348" i="56"/>
  <c r="D348" i="56"/>
  <c r="H26" i="72"/>
  <c r="K16" i="66" s="1"/>
  <c r="G24" i="72"/>
  <c r="L11" i="20" s="1"/>
  <c r="F10" i="73" l="1"/>
  <c r="O17" i="73"/>
  <c r="G19" i="76"/>
  <c r="G22" i="76" s="1"/>
  <c r="G25" i="76" s="1"/>
  <c r="G8" i="76"/>
  <c r="G12" i="76" s="1"/>
  <c r="G15" i="76" s="1"/>
  <c r="J6" i="76"/>
  <c r="I33" i="68"/>
  <c r="E7" i="73"/>
  <c r="N17" i="73" s="1"/>
  <c r="I35" i="68"/>
  <c r="F7" i="76" s="1"/>
  <c r="E9" i="73"/>
  <c r="N19" i="73" s="1"/>
  <c r="F22" i="68"/>
  <c r="G26" i="72"/>
  <c r="L13" i="20" s="1"/>
  <c r="L16" i="20" s="1"/>
  <c r="F27" i="72"/>
  <c r="H24" i="72"/>
  <c r="K14" i="66" s="1"/>
  <c r="H25" i="72"/>
  <c r="K15" i="66" s="1"/>
  <c r="H8" i="72"/>
  <c r="H7" i="72"/>
  <c r="F13" i="73" l="1"/>
  <c r="O24" i="73" s="1"/>
  <c r="O20" i="73"/>
  <c r="I36" i="68"/>
  <c r="G27" i="76"/>
  <c r="E10" i="73"/>
  <c r="N20" i="73" s="1"/>
  <c r="F5" i="76"/>
  <c r="F8" i="76" s="1"/>
  <c r="K18" i="66"/>
  <c r="F27" i="68"/>
  <c r="J7" i="76"/>
  <c r="F21" i="76"/>
  <c r="G27" i="72"/>
  <c r="H27" i="72"/>
  <c r="F37" i="68" l="1"/>
  <c r="F9" i="76"/>
  <c r="F23" i="76" s="1"/>
  <c r="I37" i="68"/>
  <c r="E11" i="73"/>
  <c r="F19" i="76"/>
  <c r="F22" i="76" s="1"/>
  <c r="J5" i="76"/>
  <c r="J8" i="76" s="1"/>
  <c r="C7" i="66"/>
  <c r="G28" i="72"/>
  <c r="C5" i="20"/>
  <c r="D5" i="20" s="1"/>
  <c r="D6" i="20" s="1"/>
  <c r="D7" i="20" s="1"/>
  <c r="C3" i="21" s="1"/>
  <c r="H28" i="72"/>
  <c r="E13" i="73" l="1"/>
  <c r="N24" i="73" s="1"/>
  <c r="N21" i="73"/>
  <c r="F7" i="21"/>
  <c r="F6" i="21"/>
  <c r="F8" i="21"/>
  <c r="F25" i="76"/>
  <c r="F12" i="76"/>
  <c r="F15" i="76" s="1"/>
  <c r="H9" i="76"/>
  <c r="J9" i="76"/>
  <c r="J12" i="76" s="1"/>
  <c r="D7" i="66"/>
  <c r="D8" i="66" s="1"/>
  <c r="H34" i="66" s="1"/>
  <c r="D9" i="66"/>
  <c r="F27" i="76" l="1"/>
  <c r="G14" i="66"/>
  <c r="G16" i="66"/>
  <c r="G15" i="66"/>
  <c r="G34" i="66"/>
  <c r="I34" i="66" s="1"/>
  <c r="D10" i="66"/>
  <c r="F14" i="66" l="1"/>
  <c r="F16" i="66"/>
  <c r="L16" i="66" s="1"/>
  <c r="N16" i="66" s="1"/>
  <c r="F15" i="66"/>
  <c r="L15" i="66" s="1"/>
  <c r="N15" i="66" s="1"/>
  <c r="G18" i="66"/>
  <c r="G19" i="66" s="1"/>
  <c r="F9" i="21"/>
  <c r="F10" i="21" s="1"/>
  <c r="D360" i="56"/>
  <c r="C354" i="56"/>
  <c r="C356" i="56" s="1"/>
  <c r="E345" i="56" s="1"/>
  <c r="D8" i="73" l="1"/>
  <c r="M18" i="73" s="1"/>
  <c r="C6" i="76"/>
  <c r="C20" i="76" s="1"/>
  <c r="C7" i="76"/>
  <c r="C21" i="76" s="1"/>
  <c r="D9" i="73"/>
  <c r="M19" i="73" s="1"/>
  <c r="L14" i="66"/>
  <c r="N14" i="66" s="1"/>
  <c r="F18" i="66"/>
  <c r="F19" i="66" s="1"/>
  <c r="H6" i="21"/>
  <c r="B11" i="20"/>
  <c r="E347" i="56"/>
  <c r="E346" i="56"/>
  <c r="N18" i="66" l="1"/>
  <c r="N19" i="66" s="1"/>
  <c r="L18" i="66"/>
  <c r="D7" i="73"/>
  <c r="C5" i="76"/>
  <c r="E348" i="56"/>
  <c r="B12" i="20"/>
  <c r="B13" i="20"/>
  <c r="D10" i="73" l="1"/>
  <c r="M17" i="73"/>
  <c r="C19" i="76"/>
  <c r="C22" i="76" s="1"/>
  <c r="C25" i="76" s="1"/>
  <c r="C8" i="76"/>
  <c r="C12" i="76" s="1"/>
  <c r="C15" i="76" s="1"/>
  <c r="B16" i="20"/>
  <c r="C11" i="20" s="1"/>
  <c r="E351" i="56"/>
  <c r="E349" i="56"/>
  <c r="D13" i="73" l="1"/>
  <c r="M24" i="73" s="1"/>
  <c r="M20" i="73"/>
  <c r="C27" i="76"/>
  <c r="C12" i="20"/>
  <c r="C13" i="20"/>
  <c r="G7" i="21"/>
  <c r="J13" i="19"/>
  <c r="K14" i="19" s="1"/>
  <c r="C357" i="56"/>
  <c r="C360" i="56" s="1"/>
  <c r="C16" i="20" l="1"/>
  <c r="C359" i="56"/>
  <c r="J15" i="19"/>
  <c r="K15" i="19" s="1"/>
  <c r="H347" i="56" l="1"/>
  <c r="H346" i="56"/>
  <c r="H345" i="56"/>
  <c r="J345" i="56" l="1"/>
  <c r="H348" i="56"/>
  <c r="D11" i="20"/>
  <c r="D12" i="20"/>
  <c r="J346" i="56"/>
  <c r="J347" i="56"/>
  <c r="D13" i="20"/>
  <c r="D16" i="20" l="1"/>
  <c r="E11" i="20" s="1"/>
  <c r="G11" i="20"/>
  <c r="G13" i="20"/>
  <c r="H349" i="56"/>
  <c r="H351" i="56"/>
  <c r="G12" i="20"/>
  <c r="J348" i="56"/>
  <c r="K347" i="56" s="1"/>
  <c r="K345" i="56" l="1"/>
  <c r="E13" i="20"/>
  <c r="J349" i="56"/>
  <c r="K346" i="56"/>
  <c r="E12" i="20"/>
  <c r="G16" i="20"/>
  <c r="H7" i="21"/>
  <c r="L4" i="18"/>
  <c r="L11" i="18" s="1"/>
  <c r="L10" i="18" l="1"/>
  <c r="L9" i="18"/>
  <c r="O9" i="18" s="1"/>
  <c r="L8" i="18"/>
  <c r="O8" i="18" s="1"/>
  <c r="L7" i="18"/>
  <c r="L12" i="18"/>
  <c r="L13" i="18"/>
  <c r="K348" i="56"/>
  <c r="E16" i="20"/>
  <c r="H8" i="21"/>
  <c r="H9" i="21" s="1"/>
  <c r="I8" i="21"/>
  <c r="I7" i="21"/>
  <c r="O7" i="18" l="1"/>
  <c r="L14" i="18"/>
  <c r="L15" i="18" s="1"/>
  <c r="I9" i="21"/>
  <c r="O12" i="18"/>
  <c r="O13" i="18"/>
  <c r="O11" i="18"/>
  <c r="H12" i="20"/>
  <c r="I12" i="20" s="1"/>
  <c r="N12" i="20" s="1"/>
  <c r="H13" i="20"/>
  <c r="O16" i="18" l="1"/>
  <c r="H15" i="20" s="1"/>
  <c r="I15" i="20" s="1"/>
  <c r="D36" i="73"/>
  <c r="O15" i="18"/>
  <c r="C36" i="73"/>
  <c r="B6" i="76"/>
  <c r="E6" i="76" s="1"/>
  <c r="H6" i="76" s="1"/>
  <c r="I13" i="20"/>
  <c r="H11" i="20"/>
  <c r="N15" i="20" l="1"/>
  <c r="B11" i="76" s="1"/>
  <c r="N13" i="20"/>
  <c r="B7" i="76" s="1"/>
  <c r="E7" i="76" s="1"/>
  <c r="H7" i="76" s="1"/>
  <c r="I11" i="20"/>
  <c r="E11" i="76" l="1"/>
  <c r="H11" i="76" s="1"/>
  <c r="I16" i="20"/>
  <c r="N11" i="20"/>
  <c r="N16" i="20" s="1"/>
  <c r="N17" i="20" s="1"/>
  <c r="B24" i="76"/>
  <c r="E24" i="76" s="1"/>
  <c r="H24" i="76" s="1"/>
  <c r="J24" i="76" s="1"/>
  <c r="L23" i="73" l="1"/>
  <c r="B5" i="76"/>
  <c r="G36" i="73" l="1"/>
  <c r="P23" i="73"/>
  <c r="B8" i="76"/>
  <c r="B12" i="76" s="1"/>
  <c r="B15" i="76" s="1"/>
  <c r="E5" i="76"/>
  <c r="H5" i="76" l="1"/>
  <c r="E8" i="76"/>
  <c r="E12" i="76" l="1"/>
  <c r="E15" i="76" s="1"/>
  <c r="I5" i="76"/>
  <c r="M5" i="76" s="1"/>
  <c r="H8" i="76"/>
  <c r="H12" i="76" s="1"/>
  <c r="I6" i="76"/>
  <c r="M6" i="76" s="1"/>
  <c r="B20" i="76" s="1"/>
  <c r="I7" i="76"/>
  <c r="M7" i="76" s="1"/>
  <c r="B21" i="76" s="1"/>
  <c r="H15" i="76" l="1"/>
  <c r="E20" i="76"/>
  <c r="H20" i="76" s="1"/>
  <c r="J20" i="76" s="1"/>
  <c r="C8" i="73"/>
  <c r="E21" i="76"/>
  <c r="H21" i="76" s="1"/>
  <c r="J21" i="76" s="1"/>
  <c r="C9" i="73"/>
  <c r="M9" i="76"/>
  <c r="B23" i="76" s="1"/>
  <c r="B19" i="76"/>
  <c r="G8" i="73" l="1"/>
  <c r="P18" i="73" s="1"/>
  <c r="L18" i="73"/>
  <c r="G9" i="73"/>
  <c r="P19" i="73" s="1"/>
  <c r="L19" i="73"/>
  <c r="E19" i="76"/>
  <c r="H19" i="76" s="1"/>
  <c r="C7" i="73"/>
  <c r="L17" i="73" s="1"/>
  <c r="B22" i="76"/>
  <c r="M12" i="76"/>
  <c r="C10" i="73" l="1"/>
  <c r="L20" i="73" s="1"/>
  <c r="G7" i="73"/>
  <c r="E23" i="76"/>
  <c r="H23" i="76" s="1"/>
  <c r="J23" i="76" s="1"/>
  <c r="C11" i="73"/>
  <c r="B25" i="76"/>
  <c r="B27" i="76" s="1"/>
  <c r="E22" i="76"/>
  <c r="G11" i="73" l="1"/>
  <c r="P21" i="73" s="1"/>
  <c r="L21" i="73"/>
  <c r="G10" i="73"/>
  <c r="P17" i="73"/>
  <c r="L24" i="73"/>
  <c r="E25" i="76"/>
  <c r="E27" i="76" s="1"/>
  <c r="H22" i="76"/>
  <c r="J19" i="76"/>
  <c r="P20" i="73" l="1"/>
  <c r="H25" i="76"/>
  <c r="J22" i="76"/>
  <c r="P24" i="73" l="1"/>
  <c r="J25" i="76"/>
  <c r="H27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Zdeněk Plíva</author>
  </authors>
  <commentList>
    <comment ref="N10" authorId="0" shapeId="0" xr:uid="{1BEFDC16-9E07-4631-AC08-7F092CB71C7B}">
      <text>
        <r>
          <rPr>
            <b/>
            <sz val="9"/>
            <color indexed="81"/>
            <rFont val="Tahoma"/>
            <family val="2"/>
            <charset val="238"/>
          </rPr>
          <t>Zdeněk Plíva:</t>
        </r>
        <r>
          <rPr>
            <sz val="9"/>
            <color indexed="81"/>
            <rFont val="Tahoma"/>
            <family val="2"/>
            <charset val="238"/>
          </rPr>
          <t xml:space="preserve">
kolik z odebraného nechat na DFM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</author>
  </authors>
  <commentList>
    <comment ref="B6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38"/>
          </rPr>
          <t>Olga:</t>
        </r>
        <r>
          <rPr>
            <sz val="9"/>
            <color indexed="81"/>
            <rFont val="Tahoma"/>
            <family val="2"/>
            <charset val="238"/>
          </rPr>
          <t xml:space="preserve">
současný stav dle mzdové inventury</t>
        </r>
      </text>
    </comment>
    <comment ref="C6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38"/>
          </rPr>
          <t>Olga:</t>
        </r>
        <r>
          <rPr>
            <sz val="9"/>
            <color indexed="81"/>
            <rFont val="Tahoma"/>
            <family val="2"/>
            <charset val="238"/>
          </rPr>
          <t xml:space="preserve">
současný stav dle mzdové inventury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</author>
  </authors>
  <commentList>
    <comment ref="G16" authorId="0" shapeId="0" xr:uid="{FAC5F067-90F3-4CBA-8783-B338CDA886BC}">
      <text>
        <r>
          <rPr>
            <b/>
            <sz val="9"/>
            <color indexed="81"/>
            <rFont val="Tahoma"/>
            <family val="2"/>
            <charset val="238"/>
          </rPr>
          <t>Olga:</t>
        </r>
        <r>
          <rPr>
            <sz val="9"/>
            <color indexed="81"/>
            <rFont val="Tahoma"/>
            <family val="2"/>
            <charset val="238"/>
          </rPr>
          <t xml:space="preserve">
odpovídá 25 %, zbytek do 50 % vrácen na ústav rozpočtovou úpravou - jednorázově dopočteno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Zdeněk Plíva</author>
  </authors>
  <commentList>
    <comment ref="B6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38"/>
          </rPr>
          <t>Zdeněk Plíva:</t>
        </r>
        <r>
          <rPr>
            <sz val="9"/>
            <color indexed="81"/>
            <rFont val="Tahoma"/>
            <family val="2"/>
            <charset val="238"/>
          </rPr>
          <t xml:space="preserve">
nelze rozúčtovat 50 %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Zdeněk Plíva</author>
    <author>Olga</author>
    <author>Simona</author>
  </authors>
  <commentList>
    <comment ref="B1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38"/>
          </rPr>
          <t>Zdeněk Plíva:</t>
        </r>
        <r>
          <rPr>
            <sz val="9"/>
            <color indexed="81"/>
            <rFont val="Tahoma"/>
            <family val="2"/>
            <charset val="238"/>
          </rPr>
          <t xml:space="preserve">
podle rozpisu stipendií na rok, na základě SD - vyplácí ústavy...</t>
        </r>
      </text>
    </comment>
    <comment ref="C15" authorId="1" shapeId="0" xr:uid="{033EEE79-04DB-4E89-BD9E-169AC2B09EF2}">
      <text>
        <r>
          <rPr>
            <b/>
            <sz val="9"/>
            <color indexed="81"/>
            <rFont val="Tahoma"/>
            <family val="2"/>
            <charset val="238"/>
          </rPr>
          <t>Olga:</t>
        </r>
        <r>
          <rPr>
            <sz val="9"/>
            <color indexed="81"/>
            <rFont val="Tahoma"/>
            <family val="2"/>
            <charset val="238"/>
          </rPr>
          <t xml:space="preserve">
3750 Kč výplata 01-02
750 Kč výplata 03-12</t>
        </r>
      </text>
    </comment>
    <comment ref="G33" authorId="1" shapeId="0" xr:uid="{00000000-0006-0000-0E00-000003000000}">
      <text>
        <r>
          <rPr>
            <b/>
            <sz val="9"/>
            <color indexed="81"/>
            <rFont val="Tahoma"/>
            <family val="2"/>
            <charset val="238"/>
          </rPr>
          <t>Olga:</t>
        </r>
        <r>
          <rPr>
            <sz val="9"/>
            <color indexed="81"/>
            <rFont val="Tahoma"/>
            <family val="2"/>
            <charset val="238"/>
          </rPr>
          <t xml:space="preserve">
Nastavit, kolik ze 117 se bude dělit podle RIV as kolik podle M17+</t>
        </r>
      </text>
    </comment>
    <comment ref="B57" authorId="2" shapeId="0" xr:uid="{8CD7DD98-0A66-4621-A6A4-564E0D8CE45B}">
      <text>
        <r>
          <rPr>
            <b/>
            <sz val="9"/>
            <color indexed="81"/>
            <rFont val="Tahoma"/>
            <family val="2"/>
            <charset val="238"/>
          </rPr>
          <t>Simona:</t>
        </r>
        <r>
          <rPr>
            <sz val="9"/>
            <color indexed="81"/>
            <rFont val="Tahoma"/>
            <family val="2"/>
            <charset val="238"/>
          </rPr>
          <t xml:space="preserve">
má Vinoda Padila, který již nepracuje na CXI</t>
        </r>
      </text>
    </comment>
    <comment ref="B58" authorId="2" shapeId="0" xr:uid="{EECDC17C-5D6E-41A7-ACB2-9A834F6CD18A}">
      <text>
        <r>
          <rPr>
            <b/>
            <sz val="9"/>
            <color indexed="81"/>
            <rFont val="Tahoma"/>
            <family val="2"/>
            <charset val="238"/>
          </rPr>
          <t>Simona:</t>
        </r>
        <r>
          <rPr>
            <sz val="9"/>
            <color indexed="81"/>
            <rFont val="Tahoma"/>
            <family val="2"/>
            <charset val="238"/>
          </rPr>
          <t xml:space="preserve">
doc. Waclawek
</t>
        </r>
      </text>
    </comment>
    <comment ref="B60" authorId="2" shapeId="0" xr:uid="{70B610E0-B30A-49D4-8E2A-C09E625953BE}">
      <text>
        <r>
          <rPr>
            <b/>
            <sz val="9"/>
            <color indexed="81"/>
            <rFont val="Tahoma"/>
            <family val="2"/>
            <charset val="238"/>
          </rPr>
          <t>Simona:</t>
        </r>
        <r>
          <rPr>
            <sz val="9"/>
            <color indexed="81"/>
            <rFont val="Tahoma"/>
            <family val="2"/>
            <charset val="238"/>
          </rPr>
          <t xml:space="preserve">
Černík - Zdeněk ho chce pod NTI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Zdeněk Plíva</author>
    <author>Olga</author>
  </authors>
  <commentList>
    <comment ref="B9" authorId="0" shapeId="0" xr:uid="{00000000-0006-0000-1000-000001000000}">
      <text>
        <r>
          <rPr>
            <b/>
            <sz val="9"/>
            <color indexed="81"/>
            <rFont val="Tahoma"/>
            <family val="2"/>
            <charset val="238"/>
          </rPr>
          <t>Zdeněk Plíva:</t>
        </r>
        <r>
          <rPr>
            <sz val="9"/>
            <color indexed="81"/>
            <rFont val="Tahoma"/>
            <family val="2"/>
            <charset val="238"/>
          </rPr>
          <t xml:space="preserve">
vyplacení garantům mimo FM + provoz DSP</t>
        </r>
      </text>
    </comment>
    <comment ref="H14" authorId="1" shapeId="0" xr:uid="{00000000-0006-0000-1000-000002000000}">
      <text>
        <r>
          <rPr>
            <b/>
            <sz val="9"/>
            <color indexed="81"/>
            <rFont val="Tahoma"/>
            <family val="2"/>
            <charset val="238"/>
          </rPr>
          <t>Olga:</t>
        </r>
        <r>
          <rPr>
            <sz val="9"/>
            <color indexed="81"/>
            <rFont val="Tahoma"/>
            <family val="2"/>
            <charset val="238"/>
          </rPr>
          <t xml:space="preserve">
106+117-Režie-FRIM
</t>
        </r>
      </text>
    </comment>
    <comment ref="C24" authorId="0" shapeId="0" xr:uid="{00000000-0006-0000-1000-000003000000}">
      <text>
        <r>
          <rPr>
            <b/>
            <sz val="9"/>
            <color indexed="81"/>
            <rFont val="Tahoma"/>
            <family val="2"/>
            <charset val="238"/>
          </rPr>
          <t>Zdeněk Plíva:</t>
        </r>
        <r>
          <rPr>
            <sz val="9"/>
            <color indexed="81"/>
            <rFont val="Tahoma"/>
            <family val="2"/>
            <charset val="238"/>
          </rPr>
          <t xml:space="preserve">
na DSP NANO žádnou 117 nedostáváme… Co s tím? Naúčtovat CXI?</t>
        </r>
      </text>
    </comment>
  </commentList>
</comments>
</file>

<file path=xl/sharedStrings.xml><?xml version="1.0" encoding="utf-8"?>
<sst xmlns="http://schemas.openxmlformats.org/spreadsheetml/2006/main" count="2023" uniqueCount="1005">
  <si>
    <t>Výuka 
NM
Kč</t>
  </si>
  <si>
    <t>NTI</t>
  </si>
  <si>
    <t>MTI</t>
  </si>
  <si>
    <t>ITE</t>
  </si>
  <si>
    <t>Ústav</t>
  </si>
  <si>
    <t>Kč</t>
  </si>
  <si>
    <t>%</t>
  </si>
  <si>
    <t>Celkem</t>
  </si>
  <si>
    <t>Počet studentů * Koeficient</t>
  </si>
  <si>
    <t>DFM</t>
  </si>
  <si>
    <t>Cvič.pro první 2 kroužky</t>
  </si>
  <si>
    <t>Cvič. pro 3. a další kroužky</t>
  </si>
  <si>
    <t>DFM:</t>
  </si>
  <si>
    <t xml:space="preserve">název místnosti        </t>
  </si>
  <si>
    <t>plocha</t>
  </si>
  <si>
    <t>útvar</t>
  </si>
  <si>
    <t>A</t>
  </si>
  <si>
    <t>Šatna</t>
  </si>
  <si>
    <t>I. ročník</t>
  </si>
  <si>
    <t>II. ročník</t>
  </si>
  <si>
    <t>III. ročník</t>
  </si>
  <si>
    <t>IV. ročník</t>
  </si>
  <si>
    <t>V. ročník</t>
  </si>
  <si>
    <t>Před.*Koef.</t>
  </si>
  <si>
    <t>I.-III.</t>
  </si>
  <si>
    <t>IV.- V.</t>
  </si>
  <si>
    <t>DFM 116:</t>
  </si>
  <si>
    <t>DFM 106:</t>
  </si>
  <si>
    <t>budova</t>
  </si>
  <si>
    <t>podlaží</t>
  </si>
  <si>
    <t>B</t>
  </si>
  <si>
    <t>Projekty+BP+DP</t>
  </si>
  <si>
    <t>Vypočt. dotace na I.-III.roč., IV. a V. roč. (vč.navazujících)</t>
  </si>
  <si>
    <t>Počet absolventů za posl. 3 roky</t>
  </si>
  <si>
    <t>Počet bodů</t>
  </si>
  <si>
    <t>Kritérium: vykonaná/nevykonaná státní doktorská zkouška a počet absolventů</t>
  </si>
  <si>
    <t>Ústav
celkem</t>
  </si>
  <si>
    <t>DSP</t>
  </si>
  <si>
    <t xml:space="preserve"> sl. F</t>
  </si>
  <si>
    <t xml:space="preserve"> sl. G</t>
  </si>
  <si>
    <t xml:space="preserve"> sl. J</t>
  </si>
  <si>
    <t>Počet kroužků
ke cvičení
ze STAGu</t>
  </si>
  <si>
    <t>Počet hodin 
přednášek za celý semestr</t>
  </si>
  <si>
    <t>Počet hodin 
cvičení za celý semestr</t>
  </si>
  <si>
    <t xml:space="preserve">FM-zasedací místnost </t>
  </si>
  <si>
    <t>DFM-kancelář děkana FM</t>
  </si>
  <si>
    <t>DFM-kancelář tajemnice+asist.děkana</t>
  </si>
  <si>
    <t>ITE-kancelář sekretářky</t>
  </si>
  <si>
    <t>ITE-pracovna pedagoga</t>
  </si>
  <si>
    <t>MTI-příruční archiv</t>
  </si>
  <si>
    <t>MTI-pracovna pedagoga</t>
  </si>
  <si>
    <t>NTI-pracovna pedagoga</t>
  </si>
  <si>
    <t>NTI-příruční sklad</t>
  </si>
  <si>
    <t>NTI-pracovna pedagogů</t>
  </si>
  <si>
    <t>Celá FM</t>
  </si>
  <si>
    <t>B - bakalářské studijní programy</t>
  </si>
  <si>
    <t>NM - navazující magisterské studijní programy (2leté)</t>
  </si>
  <si>
    <t>DSP - doktorské studijní programy</t>
  </si>
  <si>
    <t>Výuka B 
Kč</t>
  </si>
  <si>
    <t>B:</t>
  </si>
  <si>
    <t>Projekty BP + BP</t>
  </si>
  <si>
    <t>Projekty NM + DP</t>
  </si>
  <si>
    <t>MTI-pracovna ved.ústavu</t>
  </si>
  <si>
    <t>Body celkem</t>
  </si>
  <si>
    <t>Před. *Koef.Př.</t>
  </si>
  <si>
    <t>Cvič.pro první 2 kroužky * Koef.Cv.1</t>
  </si>
  <si>
    <t>Cvič. pro 3. a další kroužky * Koef.Cv.2</t>
  </si>
  <si>
    <t>Čajová kuchyňka</t>
  </si>
  <si>
    <t>DFM-příruční archiv</t>
  </si>
  <si>
    <t>MTI-pracovna doktoranda</t>
  </si>
  <si>
    <t>MTI-zasedací místnost</t>
  </si>
  <si>
    <t>NTI - laboratoř</t>
  </si>
  <si>
    <t>NTI-kancelář sekretářky ústavu</t>
  </si>
  <si>
    <t>NTI-pracovna doktorandů</t>
  </si>
  <si>
    <t>Prům.</t>
  </si>
  <si>
    <t>DFM, 7817</t>
  </si>
  <si>
    <t>MTI - šatna</t>
  </si>
  <si>
    <t>Účelová podpora činnost 115</t>
  </si>
  <si>
    <t xml:space="preserve"> sl. I</t>
  </si>
  <si>
    <t xml:space="preserve"> sl. H</t>
  </si>
  <si>
    <t xml:space="preserve"> sl. B</t>
  </si>
  <si>
    <t xml:space="preserve"> sl. C</t>
  </si>
  <si>
    <t xml:space="preserve"> sl. D</t>
  </si>
  <si>
    <t xml:space="preserve"> sl. E</t>
  </si>
  <si>
    <t>NM</t>
  </si>
  <si>
    <t>NTI  - laboratoř</t>
  </si>
  <si>
    <t>ITE, 7620</t>
  </si>
  <si>
    <t>MTI, 7630</t>
  </si>
  <si>
    <t>NTI, 7640</t>
  </si>
  <si>
    <t xml:space="preserve"> </t>
  </si>
  <si>
    <t>Výuka Bc. a NM</t>
  </si>
  <si>
    <t>DFM+SFM</t>
  </si>
  <si>
    <t>FM</t>
  </si>
  <si>
    <t>Koeficient náročnosti studia</t>
  </si>
  <si>
    <t>B+NM</t>
  </si>
  <si>
    <t>NM:</t>
  </si>
  <si>
    <t>106 výuka vč. projektů, BP, DP</t>
  </si>
  <si>
    <t>SFM-studijní oddělení</t>
  </si>
  <si>
    <t>ITE - laboratoř                          PCB 4</t>
  </si>
  <si>
    <t>MTI - dílna</t>
  </si>
  <si>
    <t>DFM + SFM</t>
  </si>
  <si>
    <t>K</t>
  </si>
  <si>
    <t>FM celkem</t>
  </si>
  <si>
    <t>Podíl na tvorbě FRIMu (20%)</t>
  </si>
  <si>
    <t>činn. 106:</t>
  </si>
  <si>
    <t>115 (SGS)</t>
  </si>
  <si>
    <t>Výuka - B</t>
  </si>
  <si>
    <t>Výuka - NM</t>
  </si>
  <si>
    <t>ITE - laboratoř                          PVB 3</t>
  </si>
  <si>
    <t>ITE-provozní místnost</t>
  </si>
  <si>
    <t>ITE-kancelář doktorandů</t>
  </si>
  <si>
    <t>NTI-pracovna ved.ústavu</t>
  </si>
  <si>
    <t>MTI-pracovna doktorandů</t>
  </si>
  <si>
    <t>NTI-kancelář ekonomů</t>
  </si>
  <si>
    <t>MTI-provozní místnost</t>
  </si>
  <si>
    <t>NTI-laserová laboratoř    10</t>
  </si>
  <si>
    <t>NTI-laser. výzk.laboratoř      LM5 - 5</t>
  </si>
  <si>
    <t>NTI-laserová laboratoř</t>
  </si>
  <si>
    <t>Režie celoškolská</t>
  </si>
  <si>
    <t xml:space="preserve"> sl. K</t>
  </si>
  <si>
    <t>KVE v RozFak.xls: OK (nezaokrouhleno na tis.)</t>
  </si>
  <si>
    <t>areál</t>
  </si>
  <si>
    <t>Příspěvek na vzděl.č. 
(B, NM)</t>
  </si>
  <si>
    <t>Příspěvek na vzděl.č. 
(B, NM, DSP)</t>
  </si>
  <si>
    <t>N</t>
  </si>
  <si>
    <t>Počet abs. * Počet bodů</t>
  </si>
  <si>
    <t>Počet dokt. se 
st. dokt. zk.* Počet bodů</t>
  </si>
  <si>
    <t>Počet dokt. bez 
st. dokt. zk. * Počet bodů</t>
  </si>
  <si>
    <t>(Počet dokt. + Absolvetů) * Počet bodů celkem</t>
  </si>
  <si>
    <t>PUČ FM</t>
  </si>
  <si>
    <t>FT - Databáze a tvorba dat. skladů  DAT  (0)</t>
  </si>
  <si>
    <t>Cena 1 bodu pro BS</t>
  </si>
  <si>
    <t>Cena 1 bodu pro NMS</t>
  </si>
  <si>
    <t>BS</t>
  </si>
  <si>
    <t>NMS</t>
  </si>
  <si>
    <t>Výuka BS:</t>
  </si>
  <si>
    <t>Výuka NMS:</t>
  </si>
  <si>
    <t>IP 117</t>
  </si>
  <si>
    <t>SV 115</t>
  </si>
  <si>
    <t>Služby poskytované</t>
  </si>
  <si>
    <t>Služby přijímané</t>
  </si>
  <si>
    <t>106+117</t>
  </si>
  <si>
    <t>PRO</t>
  </si>
  <si>
    <t>Výuka v zimním semestru</t>
  </si>
  <si>
    <t>Výuka v letním semestru</t>
  </si>
  <si>
    <t>Real Time Systems   RTS   (0)</t>
  </si>
  <si>
    <t>MTI-pracovna pedagogů</t>
  </si>
  <si>
    <t>Název předmětu</t>
  </si>
  <si>
    <t>HM děk., proděk.,…</t>
  </si>
  <si>
    <t>20%FRIM</t>
  </si>
  <si>
    <t>Vše na pracovišti</t>
  </si>
  <si>
    <t>Příděly</t>
  </si>
  <si>
    <t>Režie</t>
  </si>
  <si>
    <t xml:space="preserve">Počet doc. celkem
</t>
  </si>
  <si>
    <t xml:space="preserve">Počet prof. celkem
</t>
  </si>
  <si>
    <t>Počet doc. za posl. 3 roky</t>
  </si>
  <si>
    <t>Počet prof. za 3 roky</t>
  </si>
  <si>
    <t>Fakulta</t>
  </si>
  <si>
    <t>Spos</t>
  </si>
  <si>
    <t>Spři</t>
  </si>
  <si>
    <t>SV</t>
  </si>
  <si>
    <t>uživatel</t>
  </si>
  <si>
    <t>*1000</t>
  </si>
  <si>
    <t>změna počtu studentů</t>
  </si>
  <si>
    <t>% ze 106</t>
  </si>
  <si>
    <t>odebrat ze 106</t>
  </si>
  <si>
    <t>odebrat ze 117</t>
  </si>
  <si>
    <t>Studijní obor</t>
  </si>
  <si>
    <t>B2612 Elektrotechnika a informatika</t>
  </si>
  <si>
    <t>2612R011 Elektronické informační a řídicí systémy</t>
  </si>
  <si>
    <t>P</t>
  </si>
  <si>
    <t>1802R022 Informatika a logistika</t>
  </si>
  <si>
    <t>1802R007 Informační technologie</t>
  </si>
  <si>
    <t>B3942 Nanotechnologie</t>
  </si>
  <si>
    <t>3942R002 Nanomateriály</t>
  </si>
  <si>
    <t>B3901 Aplikované vědy v inženýrství</t>
  </si>
  <si>
    <t>3901R055 Aplikované vědy v inženýrství</t>
  </si>
  <si>
    <t>N2612 Elektrotechnika a informatika</t>
  </si>
  <si>
    <t>3906T001 Mechatronika</t>
  </si>
  <si>
    <t>1802T007 Informační technologie</t>
  </si>
  <si>
    <t>N2612 Electrical Engineering and Informatics</t>
  </si>
  <si>
    <t>3906T001 Mechatronics</t>
  </si>
  <si>
    <t>N3942 Nanotechnologie</t>
  </si>
  <si>
    <t>3942T002 Nanomateriály</t>
  </si>
  <si>
    <t>N3901 Aplikované vědy v inženýrství</t>
  </si>
  <si>
    <t>3901T055 Aplikované vědy v inženýrství</t>
  </si>
  <si>
    <t>P2612 Elektrotechnika a informatika</t>
  </si>
  <si>
    <t>2612V045 Technická kybernetika</t>
  </si>
  <si>
    <t>P, K</t>
  </si>
  <si>
    <t>P3901 Aplikované vědy v inženýrství</t>
  </si>
  <si>
    <t>3901V055 Aplikované vědy v inženýrství</t>
  </si>
  <si>
    <t>P3942 Nanotechnologie</t>
  </si>
  <si>
    <t>3942V001 Nanotechnologie</t>
  </si>
  <si>
    <t>3902T005 Automatické řízení a inženýrská informatika</t>
  </si>
  <si>
    <t>EXTERNISTI se nikomu nezapočítají</t>
  </si>
  <si>
    <t>projekty</t>
  </si>
  <si>
    <r>
      <t xml:space="preserve">Počet  celkem </t>
    </r>
    <r>
      <rPr>
        <sz val="12"/>
        <rFont val="Times New Roman"/>
        <family val="1"/>
        <charset val="238"/>
      </rPr>
      <t xml:space="preserve">(průměr za poslední 3 roky - </t>
    </r>
    <r>
      <rPr>
        <b/>
        <sz val="12"/>
        <rFont val="Times New Roman"/>
        <family val="1"/>
        <charset val="238"/>
      </rPr>
      <t xml:space="preserve">
</t>
    </r>
    <r>
      <rPr>
        <sz val="12"/>
        <rFont val="Times New Roman"/>
        <family val="1"/>
        <charset val="238"/>
      </rPr>
      <t>vždy dle stavu k 31. 10.)</t>
    </r>
  </si>
  <si>
    <r>
      <t xml:space="preserve">Podíl na úhradě FRIM 20% </t>
    </r>
    <r>
      <rPr>
        <sz val="12"/>
        <rFont val="Times New Roman"/>
        <family val="1"/>
        <charset val="238"/>
      </rPr>
      <t>(dle užívaných ploch)</t>
    </r>
  </si>
  <si>
    <r>
      <t xml:space="preserve">Počet </t>
    </r>
    <r>
      <rPr>
        <b/>
        <sz val="12"/>
        <color indexed="10"/>
        <rFont val="Times New Roman"/>
        <family val="1"/>
        <charset val="238"/>
      </rPr>
      <t xml:space="preserve">BP </t>
    </r>
    <r>
      <rPr>
        <b/>
        <sz val="12"/>
        <rFont val="Times New Roman"/>
        <family val="1"/>
        <charset val="238"/>
      </rPr>
      <t xml:space="preserve">vedených 
na FM </t>
    </r>
  </si>
  <si>
    <r>
      <t xml:space="preserve">Počet </t>
    </r>
    <r>
      <rPr>
        <b/>
        <sz val="12"/>
        <color indexed="48"/>
        <rFont val="Times New Roman"/>
        <family val="1"/>
        <charset val="238"/>
      </rPr>
      <t>DP</t>
    </r>
    <r>
      <rPr>
        <b/>
        <sz val="12"/>
        <rFont val="Times New Roman"/>
        <family val="1"/>
        <charset val="238"/>
      </rPr>
      <t xml:space="preserve"> vedených 
na FM </t>
    </r>
  </si>
  <si>
    <r>
      <t xml:space="preserve">Počet </t>
    </r>
    <r>
      <rPr>
        <b/>
        <sz val="12"/>
        <color indexed="10"/>
        <rFont val="Times New Roman"/>
        <family val="1"/>
        <charset val="238"/>
      </rPr>
      <t xml:space="preserve">BP </t>
    </r>
    <r>
      <rPr>
        <b/>
        <sz val="12"/>
        <rFont val="Times New Roman"/>
        <family val="1"/>
        <charset val="238"/>
      </rPr>
      <t>vedených 
na FM * Kč</t>
    </r>
  </si>
  <si>
    <r>
      <t xml:space="preserve">Počet </t>
    </r>
    <r>
      <rPr>
        <b/>
        <sz val="12"/>
        <color indexed="48"/>
        <rFont val="Times New Roman"/>
        <family val="1"/>
        <charset val="238"/>
      </rPr>
      <t>DP</t>
    </r>
    <r>
      <rPr>
        <b/>
        <sz val="12"/>
        <rFont val="Times New Roman"/>
        <family val="1"/>
        <charset val="238"/>
      </rPr>
      <t xml:space="preserve"> vedených 
na FM * Kč</t>
    </r>
  </si>
  <si>
    <r>
      <t xml:space="preserve">Výpočet podílů na úhradě 20% FRIM </t>
    </r>
    <r>
      <rPr>
        <sz val="14"/>
        <rFont val="Times New Roman"/>
        <family val="1"/>
        <charset val="238"/>
      </rPr>
      <t>(stanoveno podle poměru užívaných ploch)</t>
    </r>
  </si>
  <si>
    <t>Zde přesné částky od KVE (rozpočet TUL vpravo):</t>
  </si>
  <si>
    <t>PUČ [m2]</t>
  </si>
  <si>
    <t>FRIM [Kč]</t>
  </si>
  <si>
    <t>Činn. 106</t>
  </si>
  <si>
    <t xml:space="preserve"> sl. L</t>
  </si>
  <si>
    <r>
      <t xml:space="preserve">Na DSP za publikace </t>
    </r>
    <r>
      <rPr>
        <sz val="12"/>
        <rFont val="Times New Roman"/>
        <family val="1"/>
        <charset val="238"/>
      </rPr>
      <t>(1 měsíc)</t>
    </r>
  </si>
  <si>
    <r>
      <t xml:space="preserve">Na DSP za publikace </t>
    </r>
    <r>
      <rPr>
        <sz val="12"/>
        <rFont val="Times New Roman"/>
        <family val="1"/>
        <charset val="238"/>
      </rPr>
      <t>(12 měsíců)</t>
    </r>
  </si>
  <si>
    <t>Podpora doc. a prof.</t>
  </si>
  <si>
    <t>Roční ocenění</t>
  </si>
  <si>
    <t>Přerozdělení za doc./prof.</t>
  </si>
  <si>
    <r>
      <t xml:space="preserve">Na DSP za publikace 
</t>
    </r>
    <r>
      <rPr>
        <sz val="12"/>
        <rFont val="Times New Roman"/>
        <family val="1"/>
        <charset val="238"/>
      </rPr>
      <t>(12 měsíců)</t>
    </r>
  </si>
  <si>
    <t>Z činn. 106</t>
  </si>
  <si>
    <t>Z činn. 117</t>
  </si>
  <si>
    <t>Počet doc. * roční ocenění</t>
  </si>
  <si>
    <t>Počet prof. * roční ocenění</t>
  </si>
  <si>
    <t>Studenti v předmětech vč. DSP se SDZ</t>
  </si>
  <si>
    <t>Celkem pro přepočet dle studentů</t>
  </si>
  <si>
    <t>Přepočet režie dle studentů na ústavy</t>
  </si>
  <si>
    <t>Přepočet na provedené dislokace</t>
  </si>
  <si>
    <t>Režie pro veškeré činnosti, 7817</t>
  </si>
  <si>
    <t>Studijní režie - služby, 7117</t>
  </si>
  <si>
    <t>Režie pro veškeré činnosti, 7117</t>
  </si>
  <si>
    <t>Celkem pro přepočet dle PPV</t>
  </si>
  <si>
    <t>Přepočet režie dle PPV na pracoviště</t>
  </si>
  <si>
    <r>
      <t xml:space="preserve">Příděl 106
</t>
    </r>
    <r>
      <rPr>
        <sz val="12"/>
        <rFont val="Times New Roman"/>
        <family val="1"/>
        <charset val="238"/>
      </rPr>
      <t>(dle výuky mínus odečet ploch)</t>
    </r>
  </si>
  <si>
    <t>upravený</t>
  </si>
  <si>
    <t>Kvalifikační struktura</t>
  </si>
  <si>
    <t xml:space="preserve"> sl. M</t>
  </si>
  <si>
    <t>Tabulka kvalifikační struktury</t>
  </si>
  <si>
    <t>Přepočet na 10% přídělu</t>
  </si>
  <si>
    <t>Vrátit na ústavy</t>
  </si>
  <si>
    <t>z toho 106</t>
  </si>
  <si>
    <t>z toho 117</t>
  </si>
  <si>
    <t>Příděl části dotace podle kvalifikační struktury</t>
  </si>
  <si>
    <t>Příděl části dotace podle počtu kvalifikační struktury DOC a PROF</t>
  </si>
  <si>
    <t>Režie + 20% FRIM</t>
  </si>
  <si>
    <t>profesor</t>
  </si>
  <si>
    <t>docent</t>
  </si>
  <si>
    <t>odborný asistent s vědeckou hodností</t>
  </si>
  <si>
    <t>odborný asistent bez vědecké hodnosti</t>
  </si>
  <si>
    <t>asistent výzkumu, lektor</t>
  </si>
  <si>
    <t>Akademičtí pracovníci</t>
  </si>
  <si>
    <t>Režie vypočtená Full Costem</t>
  </si>
  <si>
    <t>Návrh rozpočtu FMIMS TU v Liberci</t>
  </si>
  <si>
    <t>prof. Ing. Zdeněk Plíva, Ph.D.</t>
  </si>
  <si>
    <t>děkan FMIMS</t>
  </si>
  <si>
    <t>% ze součtu (106+117)</t>
  </si>
  <si>
    <t>Hlavy FM</t>
  </si>
  <si>
    <t>kolik procent odebrat na kvalif. strukturu</t>
  </si>
  <si>
    <t>Úvazky FM</t>
  </si>
  <si>
    <t xml:space="preserve">Část na tarif proděk. </t>
  </si>
  <si>
    <t>Procento režie vypočtené metodou FC</t>
  </si>
  <si>
    <t>Z toho režie vypočtená Full Costem (FC)</t>
  </si>
  <si>
    <t>Rekapitulace</t>
  </si>
  <si>
    <t>Odečet 106 na DFM</t>
  </si>
  <si>
    <t>profesoři</t>
  </si>
  <si>
    <t>docenti</t>
  </si>
  <si>
    <t>CELKEM za ústavy</t>
  </si>
  <si>
    <t>CELKEM za DFM</t>
  </si>
  <si>
    <t>Metody charakterizace nanomat.   MCN  (0)</t>
  </si>
  <si>
    <t>MTI-počítačová učebna             TK1</t>
  </si>
  <si>
    <t>CELKEM</t>
  </si>
  <si>
    <t>pozn. OSTATNÍ</t>
  </si>
  <si>
    <t>provozní, zasedací mistnost</t>
  </si>
  <si>
    <t>šatna, sklad,dílna</t>
  </si>
  <si>
    <t>Návrh rozpočtu určuje podíl na úhradě 20 % FRIMu stanovený podle poměru užívaných ploch</t>
  </si>
  <si>
    <t>plochy pracovišť</t>
  </si>
  <si>
    <t>% vyjádření užitné plochy</t>
  </si>
  <si>
    <t xml:space="preserve">% vyjádření </t>
  </si>
  <si>
    <t>Studijní režie - učebny, 7817</t>
  </si>
  <si>
    <t>Přepočtený počet PP</t>
  </si>
  <si>
    <t>Tabulka mzdových prostředků platba z DFM / SFM</t>
  </si>
  <si>
    <t>Plíva</t>
  </si>
  <si>
    <t>Tůma</t>
  </si>
  <si>
    <t>Hernych</t>
  </si>
  <si>
    <t>TARIF</t>
  </si>
  <si>
    <t>Garanti</t>
  </si>
  <si>
    <t xml:space="preserve"> sl. N</t>
  </si>
  <si>
    <t>zaokrouhleno</t>
  </si>
  <si>
    <t>ostatní **</t>
  </si>
  <si>
    <t>laboratoře/učebny</t>
  </si>
  <si>
    <t>Rozpočítání DFM</t>
  </si>
  <si>
    <t>technický pracovník</t>
  </si>
  <si>
    <t>administrativní pracovník</t>
  </si>
  <si>
    <t xml:space="preserve">MTI-kancelář sekretářky </t>
  </si>
  <si>
    <t>MTI -pracovna pedegoga</t>
  </si>
  <si>
    <t>NTI-pracovna pedagogů a doktorandů</t>
  </si>
  <si>
    <t>C</t>
  </si>
  <si>
    <t>menza  Husova</t>
  </si>
  <si>
    <t>zařazení</t>
  </si>
  <si>
    <t>účel</t>
  </si>
  <si>
    <t>ITE 7620</t>
  </si>
  <si>
    <t>MTI 7630</t>
  </si>
  <si>
    <t>NTI 7640</t>
  </si>
  <si>
    <t>kontrola</t>
  </si>
  <si>
    <t>Mrázková</t>
  </si>
  <si>
    <t>výpočet CELKEM</t>
  </si>
  <si>
    <t>Obecná chemie 2   OCH2 (1)</t>
  </si>
  <si>
    <t>DFM 7817</t>
  </si>
  <si>
    <t>DFM, 7817 - Organizace SGS+konference</t>
  </si>
  <si>
    <t>rozdělení v rámci FM</t>
  </si>
  <si>
    <t>organizace</t>
  </si>
  <si>
    <t>konference</t>
  </si>
  <si>
    <t>na projekty</t>
  </si>
  <si>
    <t>na DFM</t>
  </si>
  <si>
    <t>útvar (sl.D)</t>
  </si>
  <si>
    <t>sumif (sl.E)</t>
  </si>
  <si>
    <t>úprava</t>
  </si>
  <si>
    <t>CELKEM za útvary</t>
  </si>
  <si>
    <t>příděl na FM</t>
  </si>
  <si>
    <t>rozpočtová úprava</t>
  </si>
  <si>
    <t>celkem na pracoviště</t>
  </si>
  <si>
    <t>Výpočet počtu studentů pro stanovení přídělu na BS/MS/DS</t>
  </si>
  <si>
    <t>počty ze STAGu</t>
  </si>
  <si>
    <t>počet měsíců</t>
  </si>
  <si>
    <t>korekce rozpočtu</t>
  </si>
  <si>
    <t>(např. plánované výdaje navíc)</t>
  </si>
  <si>
    <t>příděl 106 na DFM+SFM :</t>
  </si>
  <si>
    <t>Přehled plánovatelných (mzdových) výdajů DFM</t>
  </si>
  <si>
    <t>kontrola přidělení</t>
  </si>
  <si>
    <t>Vypočtená částka na DSP</t>
  </si>
  <si>
    <t>na pracoviště</t>
  </si>
  <si>
    <t>T</t>
  </si>
  <si>
    <t>kanceláře/pracovny</t>
  </si>
  <si>
    <t>Interní číslo projektu</t>
  </si>
  <si>
    <t>Moderní program. techniky  MPT  (0)</t>
  </si>
  <si>
    <t>PF - Osobní počítače  PCS-P   (0)</t>
  </si>
  <si>
    <t>IP stabilitační</t>
  </si>
  <si>
    <t>Jeníček</t>
  </si>
  <si>
    <t>Dělení SGS</t>
  </si>
  <si>
    <t>Kritérium: jmenovaný DOC/PROF jako zaměstnanec FM "A")</t>
  </si>
  <si>
    <t>IP motivační</t>
  </si>
  <si>
    <t>mezisoučet</t>
  </si>
  <si>
    <t>na Projekty+BP+DP vyčleněno</t>
  </si>
  <si>
    <t>K dalšímu dělení za výuku zbývá:</t>
  </si>
  <si>
    <t>Příděl dotace na Bc:</t>
  </si>
  <si>
    <t>na Výuku Bc.</t>
  </si>
  <si>
    <t>Příděl dotace na NM:</t>
  </si>
  <si>
    <t>z toho na Projekty NM + DP</t>
  </si>
  <si>
    <t>na Výuku Mg.</t>
  </si>
  <si>
    <t>Náklad DFM</t>
  </si>
  <si>
    <t>součet</t>
  </si>
  <si>
    <t>přerozdělení  Doc/Prof</t>
  </si>
  <si>
    <t>kvalif.struktura</t>
  </si>
  <si>
    <t>Příděl 106 na FM</t>
  </si>
  <si>
    <t>Na provoz 117 na DFM</t>
  </si>
  <si>
    <t>K rozdělení:</t>
  </si>
  <si>
    <t>NE</t>
  </si>
  <si>
    <t>STAB</t>
  </si>
  <si>
    <t>MOT</t>
  </si>
  <si>
    <t>Příděl 117 STAB</t>
  </si>
  <si>
    <t>Příděl 117 MOT</t>
  </si>
  <si>
    <r>
      <rPr>
        <b/>
        <sz val="11"/>
        <color rgb="FFFF0000"/>
        <rFont val="Times New Roman"/>
        <family val="1"/>
        <charset val="238"/>
      </rPr>
      <t>106+117+režie</t>
    </r>
    <r>
      <rPr>
        <b/>
        <sz val="11"/>
        <rFont val="Times New Roman"/>
        <family val="1"/>
        <charset val="238"/>
      </rPr>
      <t xml:space="preserve"> (před odečtením DFM)</t>
    </r>
  </si>
  <si>
    <r>
      <rPr>
        <b/>
        <sz val="11"/>
        <color rgb="FFFF0000"/>
        <rFont val="Times New Roman"/>
        <family val="1"/>
        <charset val="238"/>
      </rPr>
      <t>106+117+režie</t>
    </r>
    <r>
      <rPr>
        <b/>
        <sz val="11"/>
        <rFont val="Times New Roman"/>
        <family val="1"/>
        <charset val="238"/>
      </rPr>
      <t xml:space="preserve"> - se započtením DFM</t>
    </r>
  </si>
  <si>
    <t>(vč. 115)</t>
  </si>
  <si>
    <t>Bak. projekty</t>
  </si>
  <si>
    <t>Bak. práce</t>
  </si>
  <si>
    <t>Mag. projekt</t>
  </si>
  <si>
    <t>Diplomky</t>
  </si>
  <si>
    <t>PRJ1</t>
  </si>
  <si>
    <t>PRJ2</t>
  </si>
  <si>
    <t>PRJ</t>
  </si>
  <si>
    <t>PRN</t>
  </si>
  <si>
    <t>BP1</t>
  </si>
  <si>
    <t>BP2</t>
  </si>
  <si>
    <t>BPA1</t>
  </si>
  <si>
    <t>BPA2</t>
  </si>
  <si>
    <t>BPN</t>
  </si>
  <si>
    <t>PD1</t>
  </si>
  <si>
    <t>PD2</t>
  </si>
  <si>
    <t>DP1</t>
  </si>
  <si>
    <t>DP2</t>
  </si>
  <si>
    <t>DPA1</t>
  </si>
  <si>
    <t>DPA2</t>
  </si>
  <si>
    <t>DPN</t>
  </si>
  <si>
    <t>DPR</t>
  </si>
  <si>
    <t>portál STAG - prohlížení - předmět - zkratka předmětu</t>
  </si>
  <si>
    <t>old</t>
  </si>
  <si>
    <t>Typ studijního programu</t>
  </si>
  <si>
    <t>Kód a název studijního programu</t>
  </si>
  <si>
    <t>Garant SO</t>
  </si>
  <si>
    <t>Datum získání akreditace</t>
  </si>
  <si>
    <t>Platnost akreditace do</t>
  </si>
  <si>
    <t>Garant studijního programu</t>
  </si>
  <si>
    <t>Bakalářský</t>
  </si>
  <si>
    <t>B0588A110003 Aplikované vědy v inženýrství</t>
  </si>
  <si>
    <t>3 roky</t>
  </si>
  <si>
    <t>doc. Mgr. Jan Stebel, Ph.D.</t>
  </si>
  <si>
    <t>B0613A140005 Informační technologie</t>
  </si>
  <si>
    <t>doc. Ing. Josef Chaloupka, Ph.D.</t>
  </si>
  <si>
    <t>B0714A270001 Mechatronika</t>
  </si>
  <si>
    <t>doc. Ing. Josef Černohorský, Ph.D.</t>
  </si>
  <si>
    <t>B0719A130001 Nanotechnologie</t>
  </si>
  <si>
    <t>prof. Ing. Josef Šedlbauer, Ph.D.</t>
  </si>
  <si>
    <t>Navazující magisterský</t>
  </si>
  <si>
    <t>N0588A110001 Aplikované vědy v inženýrství</t>
  </si>
  <si>
    <t>2 roky</t>
  </si>
  <si>
    <t>doc. Ing. Petr Šidlof, Ph.D.</t>
  </si>
  <si>
    <t>N0613A140028 Informační technologie</t>
  </si>
  <si>
    <t>doc. RNDr. Pavel Satrapa, Ph.D.</t>
  </si>
  <si>
    <t xml:space="preserve">N0613A140029 Information Technology
 </t>
  </si>
  <si>
    <t>N0714A270010 Mechatronika</t>
  </si>
  <si>
    <t>doc. Dr. Mgr. Ing. Jaroslav Hlava</t>
  </si>
  <si>
    <t>N0714A150003 Mechatronics</t>
  </si>
  <si>
    <t>N0719A270001 Nanotechnologie</t>
  </si>
  <si>
    <t>Doktorský</t>
  </si>
  <si>
    <t>P0788D270007 Aplikované vědy v inženýrství</t>
  </si>
  <si>
    <t>4 roky</t>
  </si>
  <si>
    <t>P0788D270006 Applied Sciences in Engineering</t>
  </si>
  <si>
    <t>P0714D150008 Technická kybernetika</t>
  </si>
  <si>
    <t>prof. Ing. Zbyněk Koldovský, Ph.D.</t>
  </si>
  <si>
    <t>P0714D150007 Technical Cybernetics</t>
  </si>
  <si>
    <t>S</t>
  </si>
  <si>
    <t>doc. Ing. Libor Tůma, CSc.</t>
  </si>
  <si>
    <t>B2646 Informační technologie</t>
  </si>
  <si>
    <t>prof. Ing. Jaroslav Nosek, CSc.</t>
  </si>
  <si>
    <t>2612T071 Engineering of Interactive Systems</t>
  </si>
  <si>
    <t>prof. Dr. Ing. Miroslav Černík, CSc.</t>
  </si>
  <si>
    <t>doc. Ing. Jan Šembera, Ph.D.</t>
  </si>
  <si>
    <t>3901T025 Přírodovědné inženýrství</t>
  </si>
  <si>
    <t>doc. Ing. Milan Hokr, Ph.D. </t>
  </si>
  <si>
    <t>Forma</t>
  </si>
  <si>
    <t>SDS</t>
  </si>
  <si>
    <t>X</t>
  </si>
  <si>
    <t>KCH</t>
  </si>
  <si>
    <t>KAT</t>
  </si>
  <si>
    <t>poč</t>
  </si>
  <si>
    <t>A/N</t>
  </si>
  <si>
    <t>částka</t>
  </si>
  <si>
    <t>Vracet na ústav?  ANO/NE</t>
  </si>
  <si>
    <t>//'6_Garanti'!O38</t>
  </si>
  <si>
    <t>korekce na FM</t>
  </si>
  <si>
    <t>režie za studenty CXI a FP</t>
  </si>
  <si>
    <t>2020/2021</t>
  </si>
  <si>
    <t>Poznámka:</t>
  </si>
  <si>
    <t>NTI -pracovna pedagoga</t>
  </si>
  <si>
    <t>NTI-laboratoř techn. diagn.         C221</t>
  </si>
  <si>
    <t xml:space="preserve">MTI kancelář </t>
  </si>
  <si>
    <t>MTI zasedací místnost</t>
  </si>
  <si>
    <t>děkan</t>
  </si>
  <si>
    <t>proděkan</t>
  </si>
  <si>
    <t>Severýn</t>
  </si>
  <si>
    <t>AS FM</t>
  </si>
  <si>
    <t>CXI</t>
  </si>
  <si>
    <t>Počítačové zpracování řeči   PZR   (7)</t>
  </si>
  <si>
    <t>Václavík</t>
  </si>
  <si>
    <t>Systémy pro řízení v reálném čase  RTC  (0)</t>
  </si>
  <si>
    <t>FZS - Biokybernetika   BIK   (8)</t>
  </si>
  <si>
    <t>Lineární algebra a diskrétní mat.  LADM  (5)</t>
  </si>
  <si>
    <t xml:space="preserve"> + MTI</t>
  </si>
  <si>
    <t>PF - Op. syst. UNIX OSU  (0)</t>
  </si>
  <si>
    <t xml:space="preserve"> +MTI</t>
  </si>
  <si>
    <t xml:space="preserve"> cv MTI</t>
  </si>
  <si>
    <t>Odpočet</t>
  </si>
  <si>
    <t>Úpravy</t>
  </si>
  <si>
    <t>opačná kontrola</t>
  </si>
  <si>
    <t>Vyplní SO  b+m</t>
  </si>
  <si>
    <r>
      <t xml:space="preserve">Tarify tříd  </t>
    </r>
    <r>
      <rPr>
        <sz val="13"/>
        <rFont val="Times New Roman"/>
        <family val="1"/>
        <charset val="238"/>
      </rPr>
      <t>(dolní hranice)</t>
    </r>
  </si>
  <si>
    <t>Dotace celkem na B + NM:</t>
  </si>
  <si>
    <t>přiděleno "na FM"</t>
  </si>
  <si>
    <t>hodnoty pro přepočet na ústavy</t>
  </si>
  <si>
    <t>Režie AS - příspěvek</t>
  </si>
  <si>
    <t>REŽIE CELKEM</t>
  </si>
  <si>
    <t>Pozn. Dle souboru mi_FM: počítat dle skutečných hodnot, NE dle přepočtů</t>
  </si>
  <si>
    <t>2021/2022</t>
  </si>
  <si>
    <t>P0588D130006  Environmentální inženýrství</t>
  </si>
  <si>
    <t>P0588D130007  Environmental Engineering</t>
  </si>
  <si>
    <t>Částky pro výplatu stipendií za publikační činnost</t>
  </si>
  <si>
    <t>KFY</t>
  </si>
  <si>
    <t>PUBLIKAČNÍ_ČINNOST_2022.xlsx od SO (Simona)</t>
  </si>
  <si>
    <t>Modelování signálů a dat  MSD  (7)</t>
  </si>
  <si>
    <t>Metody vytěžování dat  MVD  (7)</t>
  </si>
  <si>
    <t>Úvod do zpracování obrazů  UZO  (21)</t>
  </si>
  <si>
    <t>Digitální audio inženýrství  DAI  (5)</t>
  </si>
  <si>
    <t>Pokročilé met. rozpoznávání řeči  PMR  (5)</t>
  </si>
  <si>
    <t>FZS - Rozpoznávání a zprac. obrazu RZO  (8)</t>
  </si>
  <si>
    <t>Úvod do studia materiálů   NTI/USM   (5)</t>
  </si>
  <si>
    <t>Bezdrátové systémy a EMC  BSE  (10)</t>
  </si>
  <si>
    <t>Bezdrátové technologie a sítě   BTS  (25)</t>
  </si>
  <si>
    <t xml:space="preserve">Simulace diskrétních systémů  SDIS  (4) </t>
  </si>
  <si>
    <t>PF - Moderní metody program.  MMP  (0)</t>
  </si>
  <si>
    <t>Metamateriály     MTM  (0)</t>
  </si>
  <si>
    <t>MEA  Real Time Control Systems RTC (6)</t>
  </si>
  <si>
    <t>MEA  Smart Sens. and Actuators  SSA  (6)</t>
  </si>
  <si>
    <t>FP - Úvod do hodnocení spolehlivosti a rizik SPR (0)</t>
  </si>
  <si>
    <t>FP - Metody a nástroje optimalizace údržby  OPU  (0)</t>
  </si>
  <si>
    <t>FP - Softwarové nástroje ve spolehlivosti   SNS  (0)</t>
  </si>
  <si>
    <t>Projektování automat. systémů   PAS  (0)</t>
  </si>
  <si>
    <t>Algebr. syntéza reg. obv.  ASR  (0)</t>
  </si>
  <si>
    <t>Řízení vícerozměrových systémů   RVS  (0)</t>
  </si>
  <si>
    <t>MEA Výkonová elektronika   VKE  (7)</t>
  </si>
  <si>
    <t>FS - Mechatronika  MEC   (1)</t>
  </si>
  <si>
    <t>FZS - Lékařské systémy  LSY   (8)</t>
  </si>
  <si>
    <t>FZS - Robotika 1  RO1   (0)</t>
  </si>
  <si>
    <t>Úvod do studia materiálů   USM   (5)</t>
  </si>
  <si>
    <t>PFKS - Aut. a form. jaz.   AFJ-P  (3)</t>
  </si>
  <si>
    <t>Bakalářský seminář  BS  (1)</t>
  </si>
  <si>
    <t>PF - Nové trendy v IT  NTI  (3)</t>
  </si>
  <si>
    <t>PFKS - Složitost a vyčíslitelnost SVA   (3)</t>
  </si>
  <si>
    <t>PFKS - Operační systém Linux  LNXPE (0)</t>
  </si>
  <si>
    <t>PF - Programování pro WEB  PGWE (0)</t>
  </si>
  <si>
    <t>FZS - Metody měření a int. 3D obrazů MID (9)</t>
  </si>
  <si>
    <t>nn</t>
  </si>
  <si>
    <t>korekce pro FM na vrub CXI a FP</t>
  </si>
  <si>
    <t>po korekci</t>
  </si>
  <si>
    <t>Celkem MIMO FM</t>
  </si>
  <si>
    <t>mimo FM</t>
  </si>
  <si>
    <t>Úpravy za učebny</t>
  </si>
  <si>
    <t>výpočet základní výše režie pro následný dopočet</t>
  </si>
  <si>
    <t xml:space="preserve">rozdělení základní režie včetně dislokace </t>
  </si>
  <si>
    <t>přepočet dle procenta vypočteného metodou FC</t>
  </si>
  <si>
    <t>POŽADOVANÁ REŽIE CELKEM</t>
  </si>
  <si>
    <t>ZÁKLAD</t>
  </si>
  <si>
    <t>DISLOKACE</t>
  </si>
  <si>
    <t>I</t>
  </si>
  <si>
    <t>MTI-laboratoř</t>
  </si>
  <si>
    <t>SK</t>
  </si>
  <si>
    <t xml:space="preserve">Sklad       </t>
  </si>
  <si>
    <t>počet měs.</t>
  </si>
  <si>
    <t>bez odvodů celkem</t>
  </si>
  <si>
    <t>Doplatek do 50 %</t>
  </si>
  <si>
    <t>elektrika kvestor nový výpočet</t>
  </si>
  <si>
    <r>
      <t xml:space="preserve">Režie upravené o dislokace </t>
    </r>
    <r>
      <rPr>
        <i/>
        <sz val="12"/>
        <rFont val="Times New Roman"/>
        <family val="1"/>
        <charset val="238"/>
      </rPr>
      <t>(bez Režie AS)</t>
    </r>
  </si>
  <si>
    <t>Režie základ+dislokace+eletrika ZAOKROUHLENO</t>
  </si>
  <si>
    <t>Režie AS</t>
  </si>
  <si>
    <t>Celkem 106, 117</t>
  </si>
  <si>
    <t>pokud NE, vyplácí přímo DFM</t>
  </si>
  <si>
    <t>fix</t>
  </si>
  <si>
    <t xml:space="preserve">Počet dokt. do (SDS+1) celkem
</t>
  </si>
  <si>
    <t>Počet dokt. do SDS+1  se 
st. dokt. zk</t>
  </si>
  <si>
    <t>Počet dokt. do SDS+1  bez st. dokt. zk</t>
  </si>
  <si>
    <t>měsíčně</t>
  </si>
  <si>
    <t>ročně</t>
  </si>
  <si>
    <t>přeúčtování 117</t>
  </si>
  <si>
    <t>převody 106</t>
  </si>
  <si>
    <t>FP</t>
  </si>
  <si>
    <t>ř. 32</t>
  </si>
  <si>
    <r>
      <t xml:space="preserve">Počet 
</t>
    </r>
    <r>
      <rPr>
        <b/>
        <sz val="12"/>
        <color indexed="10"/>
        <rFont val="Times New Roman"/>
        <family val="1"/>
        <charset val="238"/>
      </rPr>
      <t>Bc.</t>
    </r>
    <r>
      <rPr>
        <b/>
        <sz val="12"/>
        <rFont val="Times New Roman"/>
        <family val="1"/>
        <charset val="238"/>
      </rPr>
      <t xml:space="preserve">-projektů </t>
    </r>
  </si>
  <si>
    <r>
      <t xml:space="preserve">Počet 
</t>
    </r>
    <r>
      <rPr>
        <b/>
        <sz val="12"/>
        <color indexed="48"/>
        <rFont val="Times New Roman"/>
        <family val="1"/>
        <charset val="238"/>
      </rPr>
      <t>Mgr.-</t>
    </r>
    <r>
      <rPr>
        <b/>
        <sz val="12"/>
        <rFont val="Times New Roman"/>
        <family val="1"/>
        <charset val="238"/>
      </rPr>
      <t xml:space="preserve">projektů </t>
    </r>
  </si>
  <si>
    <t>podpora FoM</t>
  </si>
  <si>
    <r>
      <t xml:space="preserve">Počet 
</t>
    </r>
    <r>
      <rPr>
        <b/>
        <sz val="12"/>
        <color indexed="10"/>
        <rFont val="Times New Roman"/>
        <family val="1"/>
        <charset val="238"/>
      </rPr>
      <t>Bc.</t>
    </r>
    <r>
      <rPr>
        <b/>
        <sz val="12"/>
        <rFont val="Times New Roman"/>
        <family val="1"/>
        <charset val="238"/>
      </rPr>
      <t>-projektů</t>
    </r>
    <r>
      <rPr>
        <sz val="12"/>
        <rFont val="Times New Roman"/>
        <family val="1"/>
        <charset val="238"/>
      </rPr>
      <t xml:space="preserve"> * Kč</t>
    </r>
  </si>
  <si>
    <r>
      <t xml:space="preserve">Počet 
</t>
    </r>
    <r>
      <rPr>
        <b/>
        <sz val="12"/>
        <color indexed="48"/>
        <rFont val="Times New Roman"/>
        <family val="1"/>
        <charset val="238"/>
      </rPr>
      <t>Mgr.-</t>
    </r>
    <r>
      <rPr>
        <b/>
        <sz val="12"/>
        <rFont val="Times New Roman"/>
        <family val="1"/>
        <charset val="238"/>
      </rPr>
      <t>projektů</t>
    </r>
    <r>
      <rPr>
        <sz val="12"/>
        <rFont val="Times New Roman"/>
        <family val="1"/>
        <charset val="238"/>
      </rPr>
      <t xml:space="preserve"> * Kč</t>
    </r>
  </si>
  <si>
    <t>Výpočty, simul. a vizual. Matlab MTLB   (100)</t>
  </si>
  <si>
    <t>Číslicová technika   CITE  (79)</t>
  </si>
  <si>
    <t>Elektronická dokumentace   EDK   (73)</t>
  </si>
  <si>
    <t>Signály a informace    SGI   (84)</t>
  </si>
  <si>
    <t>FZS - Úvod do syst. a signálů  USS*Z  (8)</t>
  </si>
  <si>
    <t xml:space="preserve">Databáze pro big data  DPB  (33) </t>
  </si>
  <si>
    <t xml:space="preserve">Základy elektroniky  ZELB  (10) </t>
  </si>
  <si>
    <t xml:space="preserve">Základy konstruování  ZKO  (38) </t>
  </si>
  <si>
    <t>Úvod do strojového učení   USU  (10)</t>
  </si>
  <si>
    <t>FSB - Elektrot. a elektronika  ELE (79)  1/2 MTI</t>
  </si>
  <si>
    <t>FSBKS - Elektrot. a elektr.  ELE (9)  1/2 MTI</t>
  </si>
  <si>
    <t>Aplikace neuronových sítí  ANS  (8)</t>
  </si>
  <si>
    <t>Elektronická zařízení   EZA  (20)</t>
  </si>
  <si>
    <t>Multimediální technologie  MT  (20)</t>
  </si>
  <si>
    <t>Programovatelné obvody   PO  (2)</t>
  </si>
  <si>
    <t>Programovatelné obvody   POB  (21)</t>
  </si>
  <si>
    <t>Technologie pro big data  TPB  (16)</t>
  </si>
  <si>
    <t>FZS - Elektronika ELM*Z  (21)</t>
  </si>
  <si>
    <t>Bakalářský seminář   BS  (38)</t>
  </si>
  <si>
    <t>Cloudové technologie  CTC  (16)</t>
  </si>
  <si>
    <t>Nástroje Office    NOF  (0)</t>
  </si>
  <si>
    <t>Počítačová grafika 2  PG2  (10)</t>
  </si>
  <si>
    <t>Úvod do zpracování obrazů  UZO  (19)</t>
  </si>
  <si>
    <t>FZS - Snímání, digit. a zpr. dat  DZD*Z  (21)</t>
  </si>
  <si>
    <t>FZS - Vybrané kap. z teorie signálu  KSA  (9)</t>
  </si>
  <si>
    <t>FZS - Počítačové zpr. signálů  PZS*Z  (9)</t>
  </si>
  <si>
    <t>FZS - Technická dok., řízení proj.  TDO  (8)</t>
  </si>
  <si>
    <t>Metody zpracování obrazových dat  MZOD  (7)</t>
  </si>
  <si>
    <t>Pokročilé program. na platf. Java  PPJ  (17)</t>
  </si>
  <si>
    <t>Počítačové zpracování signálů  PZS  (36+2)</t>
  </si>
  <si>
    <t>Počítačové zpracování signálů  PZS  (14)</t>
  </si>
  <si>
    <t>FZS - Interakce člověk počítač   ICP*Z  (9)</t>
  </si>
  <si>
    <t>Počítačové vidění  PVI  (24)</t>
  </si>
  <si>
    <t>Hardware software codesign  HSC  (1)</t>
  </si>
  <si>
    <t>Interakce člověka s počítačem  ICP  (12)</t>
  </si>
  <si>
    <t>Image Processing  IMA (4)</t>
  </si>
  <si>
    <t>Počítačové zpracování signálů   PZS (4)</t>
  </si>
  <si>
    <t>Interakce člověka s počítačem  ICP (3) MEA</t>
  </si>
  <si>
    <t>erasmus</t>
  </si>
  <si>
    <t>Moderní metody zpracování signálů  MMZ  (5)</t>
  </si>
  <si>
    <t>Počítačová lingvistika  PLI  (5)</t>
  </si>
  <si>
    <t>Diagnostika a spolehlivost  DSP  (1)</t>
  </si>
  <si>
    <t>Algoritmizace a programov. 1  ALG1  (96)</t>
  </si>
  <si>
    <t>Elektrotechnika  ELT  (68)</t>
  </si>
  <si>
    <t>Informatika  INF  (8)</t>
  </si>
  <si>
    <t>Programování 1   PRG1  (68+2)</t>
  </si>
  <si>
    <t>Přístrojová technika   PTE    (8)</t>
  </si>
  <si>
    <t xml:space="preserve">Úvod do inženýrství   UDI  (142) </t>
  </si>
  <si>
    <t>Algoritmizace a progr. 2  ALG2(80)</t>
  </si>
  <si>
    <t>Měření neelektrických veličin   MNV (58)</t>
  </si>
  <si>
    <t>Programovatelné automaty   PRA (55+1)</t>
  </si>
  <si>
    <t>Programování 2   PRG2  (55+3)</t>
  </si>
  <si>
    <t>FZS  Informační systémy ve zdravotnictví ISZ*Z  (27)</t>
  </si>
  <si>
    <t>FA - Základy logického řízení   ZLR*A   (9)</t>
  </si>
  <si>
    <t>FZS - Informační technologie   IT*Z  (24)</t>
  </si>
  <si>
    <t>FZS - Mikr. technika v biom.  MIT-Z  (33)</t>
  </si>
  <si>
    <t>FZS - Teoretická elektrotechn. TEE-Z  (34)</t>
  </si>
  <si>
    <t>Číslicové počítace   CIP  (35)</t>
  </si>
  <si>
    <t>Databázové systémy   DBS  (39)</t>
  </si>
  <si>
    <t>Elektronika   ELE  (50)</t>
  </si>
  <si>
    <t>Elektrotechnická praktika  EPR   (6)</t>
  </si>
  <si>
    <t>Programování v jazyce C/C++  PRJC  (39+1)</t>
  </si>
  <si>
    <t>Řízení kvality a integrace syst. v p.  RKI (2)</t>
  </si>
  <si>
    <t>Spolehlivost a údržba  SAU (2)</t>
  </si>
  <si>
    <t>Teoretická elektrotechnika  TLT (41)</t>
  </si>
  <si>
    <t>Údržba a skladové hospodářství    USH (2)</t>
  </si>
  <si>
    <t>Základy automatického řízení  ZAR (52)</t>
  </si>
  <si>
    <t>Elektrické pohony a aktuátory  EPA  (45)</t>
  </si>
  <si>
    <t>Elektroprojektování   EPRO  (58+4)</t>
  </si>
  <si>
    <t>Měření elektrických veličin  MEV  (45)</t>
  </si>
  <si>
    <t>Teorie systémů pro techniky    TES   (2)</t>
  </si>
  <si>
    <t>Technické a program. prostředky řízení   TPR   (38)</t>
  </si>
  <si>
    <t>Vývoj aplikací pro Windows  VAPW  (24)</t>
  </si>
  <si>
    <t>FSB - Elektrot. a elektronika  ELE (79)  1/2 ITE</t>
  </si>
  <si>
    <t>FSBKS - Elektrot. a elektr.  ELE (9)  1/2 ITE</t>
  </si>
  <si>
    <t xml:space="preserve">FPKS - Vývoj progr. vybavení   VPV-P   (0)  </t>
  </si>
  <si>
    <t>FZS  Měření fyzik. veličin   MFV-Z  (22)</t>
  </si>
  <si>
    <t>je to 2+4 ale učilo se 2+2 ?!</t>
  </si>
  <si>
    <t>FZS - Databázové systémy  DAS*Z  (21)</t>
  </si>
  <si>
    <t>FZS - Informatika a kybernet.  IAK*Z  (7)</t>
  </si>
  <si>
    <t>FZS - Silnopr. elektrot. a elektron.  SEE*Z  (21)</t>
  </si>
  <si>
    <t>FZS  Senzory v lékařství   SVL-Z  (8)</t>
  </si>
  <si>
    <t>Bakalářský seminář  BS  (32) +  1cv (3) EIRS</t>
  </si>
  <si>
    <t>Kvantová mechanika 1  KM1 (5)</t>
  </si>
  <si>
    <t>Počítačový hardware a rozhraní  PHS  (5)</t>
  </si>
  <si>
    <t>Programovatelné automaty  PRAU  (0)</t>
  </si>
  <si>
    <t>Systémy reálného času   SRC   (3)</t>
  </si>
  <si>
    <t>Základy robotiky  ZRO   (22)</t>
  </si>
  <si>
    <t>Asistivní a kolaborativní robotika  AKR  (10)</t>
  </si>
  <si>
    <t>Elektromobilita a autoelektronika  ELA  (33)</t>
  </si>
  <si>
    <t>Ekonomika rizik v technice   ERT  (0)</t>
  </si>
  <si>
    <t>Funkční bezpečnost v technické praxi  FBS  (6)</t>
  </si>
  <si>
    <t>Modelování a simulace systémů  MSM (22)</t>
  </si>
  <si>
    <t xml:space="preserve">Projektové řízení a ekonomie   PRE  (14) </t>
  </si>
  <si>
    <t xml:space="preserve">Progresivní zdroje a skladování energie  PZSE  (10) </t>
  </si>
  <si>
    <t>Softwarové inženýrství   SIN   (13)</t>
  </si>
  <si>
    <t>Teorie systémů pro techniky II.  TS2  (0)</t>
  </si>
  <si>
    <t>Vestavné systémy  VST  (35)</t>
  </si>
  <si>
    <t>PF - Databázové systémy  DBSP  (5)</t>
  </si>
  <si>
    <t>PFKS - Databázové systémy  DBSP  (5)</t>
  </si>
  <si>
    <t>FZS - Bezpečnost el. zařízení   BEZ*Z  (21)</t>
  </si>
  <si>
    <t xml:space="preserve">Akustika a elektroakustika AEA  (3) </t>
  </si>
  <si>
    <t>Automatické řízení   ARI  (4)</t>
  </si>
  <si>
    <t>Architektura počítačů  ARP  (22)</t>
  </si>
  <si>
    <t>Experimentální m. v mechanice  NTI/EMM (26)</t>
  </si>
  <si>
    <t>Elektrické pohony a servom.  EPS  (29)</t>
  </si>
  <si>
    <t>Gramatiky a automaty  GRA  (23)</t>
  </si>
  <si>
    <t>Kvantová fyzika pevných látek   KFP  (8)</t>
  </si>
  <si>
    <t>MEA  Exper. m. v mechanice  NTI/EMM (9)</t>
  </si>
  <si>
    <t>MEA  Elektrické pohony a servom.  EPS  (10)</t>
  </si>
  <si>
    <t>MEA  Virtual Instrumentation  VI  (8)</t>
  </si>
  <si>
    <t>Data mining    DM   (14)</t>
  </si>
  <si>
    <t>Projektováni el. systémů  ESY  (28)</t>
  </si>
  <si>
    <t>Identifikace systémů  IDS (4)</t>
  </si>
  <si>
    <t>Komunikační technologie  KOT  (8)</t>
  </si>
  <si>
    <t>Elektrické a elektron. syst. vozidel  ESV  (16)</t>
  </si>
  <si>
    <t>Návrh hardwar. komponent  NHK  (25)</t>
  </si>
  <si>
    <t>Práce s informačními zdroji   PIZ   (10)</t>
  </si>
  <si>
    <t>Robotika    RBT  (33)</t>
  </si>
  <si>
    <t>Řízení databází    RDB   (25)</t>
  </si>
  <si>
    <t>Řídicí systémy v mechatronice  RSM   (25+1)</t>
  </si>
  <si>
    <t>Stavová regulace    STR   (2)</t>
  </si>
  <si>
    <t>MEA  Data anal. and knowl. mining  DAKM  (6)</t>
  </si>
  <si>
    <t>MEA  Electrotechnology  ETG  (6)</t>
  </si>
  <si>
    <t>MEA  Inteligentní roboty  IRO  (8)</t>
  </si>
  <si>
    <t>FZS - Progr. techniky a datamining PDI  (8)</t>
  </si>
  <si>
    <t>FZS - Vybrané kapitoly z elektrot.  VRI   (8)</t>
  </si>
  <si>
    <t>FZS - Architektury elektron. syst.  AES (9)</t>
  </si>
  <si>
    <t>FZS - Elektrot. měření, prov. bezp. EMZ  (9)</t>
  </si>
  <si>
    <t>FZS - Měření elektr. a neel. veličin  MBI (9)</t>
  </si>
  <si>
    <t>FZS - Rizikový management, spol.  RMA  (9)</t>
  </si>
  <si>
    <t>FZS - Zákl. principy elektrot. a kyb.  ZEK  (9)</t>
  </si>
  <si>
    <t>Číslicové řízení   CRI  (15)</t>
  </si>
  <si>
    <t>Převodníky fyz. veličin PFV   (0)</t>
  </si>
  <si>
    <t>Řídicí počítačové systémy   RPS  (16)</t>
  </si>
  <si>
    <t>Teorie algoritmů a složitosti   TAS  (5)</t>
  </si>
  <si>
    <t>Tenké vrstvy   TV  (5)</t>
  </si>
  <si>
    <t>Výkonová elektronika  VKE  (5)</t>
  </si>
  <si>
    <t>MEA Číslicové řízení   CRI  (4)</t>
  </si>
  <si>
    <t>MEA Communication Technology   CT  (4)</t>
  </si>
  <si>
    <t>MEA  Renewable Electricity Sources  RES  (0)</t>
  </si>
  <si>
    <t>MEA  Stavová regulace    STR   (5)</t>
  </si>
  <si>
    <t>Charakterizace tenkých vrstev  CTV  (5)</t>
  </si>
  <si>
    <t>Elektromagnetická kompatibilita  EMC  (15)</t>
  </si>
  <si>
    <t>Feromagnetické materiály  FM  (0)</t>
  </si>
  <si>
    <t>Inteligentní roboty  IRO  (0)</t>
  </si>
  <si>
    <t>Metody řízení v aplikacích  MRA  (5)</t>
  </si>
  <si>
    <t>Polovodičové materiály a prvky   PVMP  (0)</t>
  </si>
  <si>
    <t>FS - E-mobilita  EMO   (3)</t>
  </si>
  <si>
    <t>FSKS - Mechatronika  MEC   (2)</t>
  </si>
  <si>
    <t>Seminář z matematiky 1   SEM1    (88)</t>
  </si>
  <si>
    <t>Úvod do Shellu   SH   (78)</t>
  </si>
  <si>
    <t>Počítačové sítě  PST  (121)</t>
  </si>
  <si>
    <t>Seminář z matematiky  SEM2   (81)</t>
  </si>
  <si>
    <t>Úvod do studia nanomateriálů   USTN  (8)</t>
  </si>
  <si>
    <t>KS  Počítačové sítě  PST  (3)  +  PST-P (0)</t>
  </si>
  <si>
    <t>PF - Architektura počítačů  ARP  (27)</t>
  </si>
  <si>
    <t>PF - Úvod do programování   UDP   (26)</t>
  </si>
  <si>
    <t>FZS - Úvod do počítačových sítí  US*Z  (30)</t>
  </si>
  <si>
    <t>FZS - Zákl. algoritm. a progr.  ZAP*Z  (31)</t>
  </si>
  <si>
    <t>PFKS - Architektura počítačů  ARP  (9)</t>
  </si>
  <si>
    <t>PFKS - Úvod do programování   UDP   (9)</t>
  </si>
  <si>
    <t>PF - Tvorba statického webu  TSW  (12)</t>
  </si>
  <si>
    <t>PFKS - Tvorba statického webu  TSW  (5)</t>
  </si>
  <si>
    <t>Algoritmy a datové struktury  ALD   (35)</t>
  </si>
  <si>
    <t>Operační systémy OPS  (48)</t>
  </si>
  <si>
    <t>Seminář k projektu   SKP  (0)</t>
  </si>
  <si>
    <t>Snímání a zpracování obrazu   SZO   (0)</t>
  </si>
  <si>
    <t>Technická mechanika  TME  (44)</t>
  </si>
  <si>
    <t>Matematika 4   MA4   (1)</t>
  </si>
  <si>
    <t>Konstrukční a projektová praktika  KPP  (6)</t>
  </si>
  <si>
    <t>Obecná chemie 1   OCH1 (0)</t>
  </si>
  <si>
    <t>Programovací jazyk Python   PJPA   (42)</t>
  </si>
  <si>
    <t>Teorie her  TGHE   (20)</t>
  </si>
  <si>
    <t>Tvorba WWW stránek  TWS  (34)</t>
  </si>
  <si>
    <t>Úvod do statistické analýzy  USA  (43)</t>
  </si>
  <si>
    <t>PF - Programování PRG  (9)</t>
  </si>
  <si>
    <t>PFKS - Operační systémy  OPS   (5)</t>
  </si>
  <si>
    <t>PFKS - Programování PRG  (9)</t>
  </si>
  <si>
    <t>PF - Aut. a form. jaz. AFJ-P (8)</t>
  </si>
  <si>
    <t>EF - Operační systémy OS   (25)</t>
  </si>
  <si>
    <t>FZS - Model. fyziolog. dějů  MFD*Z  (7)</t>
  </si>
  <si>
    <t>FZS - Mechanika   MCH*Z  (9)</t>
  </si>
  <si>
    <t>Management bezpečnosti a rizik  MBR  (0)</t>
  </si>
  <si>
    <t>Metody užívané v logistice   MEL   (0)</t>
  </si>
  <si>
    <t>Počítačová bezpečnost   PBE  (20)</t>
  </si>
  <si>
    <t>Počítačová grafika   PG1  (15)</t>
  </si>
  <si>
    <t>Počítačová typografie  PTY  (1)</t>
  </si>
  <si>
    <t>Unix a Internet   UI  (16)</t>
  </si>
  <si>
    <t>Webové aplikace  WEA  (18)</t>
  </si>
  <si>
    <t>Aplikace počítačových modelů  APMO  (3)</t>
  </si>
  <si>
    <t>Bakalářský seminář  BS  (2)</t>
  </si>
  <si>
    <t>Konstrukce optických přístrojů  KOP   (1)</t>
  </si>
  <si>
    <t>Operační výzkum    OV    (0)</t>
  </si>
  <si>
    <t>Psaní dokumentace  PDO   (24)</t>
  </si>
  <si>
    <t>Úvod do ekon. a managementu UEMG (24)</t>
  </si>
  <si>
    <t xml:space="preserve">Základy mechaniky tekutin  ZMT   (1) </t>
  </si>
  <si>
    <t>FZS  Zobrazovací systémy  ZOS*Z  (21)</t>
  </si>
  <si>
    <t>PFKS - Jazyky pro popis dat  JPD (2)</t>
  </si>
  <si>
    <t>PFKS - Nové trendy v IT  NTI  (5)</t>
  </si>
  <si>
    <t>PFKS - Počítačová typografie  PTO-P   (0)</t>
  </si>
  <si>
    <t>FZS  Laserová techn. a vl. opt. LTE*Z  (21)</t>
  </si>
  <si>
    <t>FZS  Tomografické zobr. syst. TZS*Z  (21)</t>
  </si>
  <si>
    <t>Diferenciální rovnice   DR   (33)</t>
  </si>
  <si>
    <t>Elektromagnetismus   ELMG    (31)</t>
  </si>
  <si>
    <t>Experimentální m. v mechanice  EMM (26)</t>
  </si>
  <si>
    <t>Fyzikální jevy v geovědách   FJG (1)</t>
  </si>
  <si>
    <t>Jazyky pro popis dat   JPD (25)</t>
  </si>
  <si>
    <t>Kódování a šifrování   KAS  (23)</t>
  </si>
  <si>
    <t xml:space="preserve">Metoda konečných prvků   MKP (9+1)  </t>
  </si>
  <si>
    <t xml:space="preserve">Mechanika kontinua a termod.  MKT  (4)  </t>
  </si>
  <si>
    <t xml:space="preserve">Mechanika poddajných těles   MPT  (3)  </t>
  </si>
  <si>
    <t>Optimalizační úlohy   OPT (32)</t>
  </si>
  <si>
    <t>Programování mobilních aplikací PAA (23)</t>
  </si>
  <si>
    <t xml:space="preserve">Pravděpodobnost a statistika  PAS  (40)  </t>
  </si>
  <si>
    <t xml:space="preserve">Senzorika   SEN   (3)  </t>
  </si>
  <si>
    <t>Seminář ke stáži    SKS  (3)</t>
  </si>
  <si>
    <t xml:space="preserve"> a Pavel  Mokrý ??</t>
  </si>
  <si>
    <t xml:space="preserve">Technologie optické výroby   TOV   (3)  </t>
  </si>
  <si>
    <t>Úvod do modelování    UM   (1)</t>
  </si>
  <si>
    <t>MEA  Diferenciální rovnice  DR  (7)</t>
  </si>
  <si>
    <t>MEA  Exper. m. v mechanice  EMM (9)</t>
  </si>
  <si>
    <t>MEA  Optimalizační úlohy   OPT (7)</t>
  </si>
  <si>
    <t>Alternativní metody programování  AMP  (30)</t>
  </si>
  <si>
    <t>Fotonika    FOT    (6)</t>
  </si>
  <si>
    <t>Simulační softwary v techn. praxi  STP  (1)</t>
  </si>
  <si>
    <t>EF - Počítačová typografie  PT + PTO-P   (19+0)</t>
  </si>
  <si>
    <t>FZS - Aplik. mat. a fyz. výpočty AMI  (9)</t>
  </si>
  <si>
    <t>PF -  Operační systém Unix   OUP  (5)</t>
  </si>
  <si>
    <t>PF - Tvorba dynamického webu  TDW  (5)</t>
  </si>
  <si>
    <t>PF - Vytv. intern. služeb   VIS   (21)</t>
  </si>
  <si>
    <t>PFKS -  Alternativní metody progr.  AMP  (0)</t>
  </si>
  <si>
    <t>PFKS -  Operační systém Unix   OUP  (3)</t>
  </si>
  <si>
    <t>PFKS - Tvorba dynamického webu  TDW  (3)</t>
  </si>
  <si>
    <t>EF - Počítačové sítě  PCT*H  (21) - př. s PST</t>
  </si>
  <si>
    <t>Aplikovaná měřící technika   AMT   (6)</t>
  </si>
  <si>
    <t>Aplikace nanotechnologií v medicíně  ANM (3)</t>
  </si>
  <si>
    <t>Bezdotykové metody měření   BMM   (0)</t>
  </si>
  <si>
    <t>Global Imaging Methods  GIM  (5)</t>
  </si>
  <si>
    <t>Numerické modelování a počítače  NMP (2)</t>
  </si>
  <si>
    <t xml:space="preserve">  Výpočetní mechanika tekutin   CFD (0)</t>
  </si>
  <si>
    <t>Python pro aplikované vědy  PAV  (6)</t>
  </si>
  <si>
    <t>Pokročilé webové aplikace  PWA (14)</t>
  </si>
  <si>
    <t>Simulace elektrom. syst.  SES  (14)</t>
  </si>
  <si>
    <t>MEA  Simulace elektrom. syst.  SES  (9)</t>
  </si>
  <si>
    <t>Distribuované programování   DPG  (6)</t>
  </si>
  <si>
    <t>Diplomový seminář   DSA  (7)</t>
  </si>
  <si>
    <t>Diplomový seminář   DSI  (14)</t>
  </si>
  <si>
    <t>Kalibrace modelů   KM   (1)</t>
  </si>
  <si>
    <t>Laserové technologie  LAST  (5)</t>
  </si>
  <si>
    <t>Minipočítače a jejich prakt. aplikace MIP  (10)</t>
  </si>
  <si>
    <t xml:space="preserve">Matematická teorie pružnosti  MTP  (1)  </t>
  </si>
  <si>
    <t>Překladače   PRK  (17)</t>
  </si>
  <si>
    <t>Prostředky pro symbolické výpočty  PSV  (0)</t>
  </si>
  <si>
    <t>Vícefázové proudění    VP   (1)</t>
  </si>
  <si>
    <t>Základy navrhování optických soustav  ZNOS  (5)</t>
  </si>
  <si>
    <t>EF - Unix a Internet UXI (18)</t>
  </si>
  <si>
    <t>EF - Pokročilé webové aplikace  PWAP (11)</t>
  </si>
  <si>
    <t>2022/2023</t>
  </si>
  <si>
    <t>PR1</t>
  </si>
  <si>
    <t>PRJA</t>
  </si>
  <si>
    <t>BP-1</t>
  </si>
  <si>
    <t>BP-2</t>
  </si>
  <si>
    <t>DP-1</t>
  </si>
  <si>
    <t>DP-2</t>
  </si>
  <si>
    <t>DP1-Z</t>
  </si>
  <si>
    <t>DP2-Z</t>
  </si>
  <si>
    <t>Výčet profesorů a docentů pro započtení je rozhodný termín jmenování</t>
  </si>
  <si>
    <t xml:space="preserve"> Pustka1.1.21 (externí)</t>
  </si>
  <si>
    <t>Poznámky:</t>
  </si>
  <si>
    <t xml:space="preserve">VMP TUL - Příloha č. 3 -&gt; Příplatky za vedení a výkon funkce = 2.000,- Kč </t>
  </si>
  <si>
    <t xml:space="preserve">             -&gt; příplatek uveden do Návrhu na pracovní a mzdové zařazaní + zadán do GaP, hrazeno se SFM činností 107 (7117/107)</t>
  </si>
  <si>
    <t>kontrolu úplnosti uvedených studijních programů - děkan</t>
  </si>
  <si>
    <t>kontrolu vložení dat do návrhů a systému GaP, ověření úplnosti SP- tajemnice</t>
  </si>
  <si>
    <t>nová akreditace - vložení dat - děkan/tajemnice</t>
  </si>
  <si>
    <t>OSOH příplatek/základní</t>
  </si>
  <si>
    <t>Doplatek do 50 % mimo DFM*</t>
  </si>
  <si>
    <t>VEDENÍ příplatek**</t>
  </si>
  <si>
    <t>* DOPLATEK DO 50 %  -&gt; vráceno rozpočtovou úpravou zpět na ústav do činnosti 106</t>
  </si>
  <si>
    <t>***</t>
  </si>
  <si>
    <t xml:space="preserve">             -&gt; zaměstnanec garantující alespoň jeden studijní program (platnost po dobu platnosti akreditace daného SP)</t>
  </si>
  <si>
    <t>MTI - laboratoř                             A001</t>
  </si>
  <si>
    <t>MTI - laboratoř                             A002</t>
  </si>
  <si>
    <t>MTI - laboratoř                             A003</t>
  </si>
  <si>
    <t>MTI-laboratoř                     A102</t>
  </si>
  <si>
    <t>MTI-labor.řízení                   A103 - 24</t>
  </si>
  <si>
    <t>MTI-počítač.laboratoř          A108 - 20</t>
  </si>
  <si>
    <t>MTI-laboratoř řízení             A106 - 10</t>
  </si>
  <si>
    <t>MTI-laboratoř  elektroniky    A109 - 20</t>
  </si>
  <si>
    <t>ITE-laboratoř                       A107 - 16</t>
  </si>
  <si>
    <t>MTI laboratoř                        A105</t>
  </si>
  <si>
    <t>MTI-počítačová učebna          A104 - 25</t>
  </si>
  <si>
    <t>MTI-počítačová učebna          A202 - 20</t>
  </si>
  <si>
    <t>ITE-učebna Smart room                    A203</t>
  </si>
  <si>
    <t>ITE-pracovna profesorů a docentů</t>
  </si>
  <si>
    <t>ITE-pracovna ved. katedry</t>
  </si>
  <si>
    <t>NTI-počítačová učebna       A302</t>
  </si>
  <si>
    <t>ITE-počítačová učebna              A304</t>
  </si>
  <si>
    <t>NTI-počítačová učebna            A305</t>
  </si>
  <si>
    <t>MTI-kancelář s kuchyňkou</t>
  </si>
  <si>
    <t>MTI-pomocná místnost laboratoře</t>
  </si>
  <si>
    <t>MTI - sklad</t>
  </si>
  <si>
    <r>
      <t>Výpočet 20% FRIM (plochy s kódem</t>
    </r>
    <r>
      <rPr>
        <b/>
        <sz val="11"/>
        <rFont val="Times New Roman"/>
        <family val="1"/>
        <charset val="238"/>
      </rPr>
      <t xml:space="preserve"> účelu=1 a 5</t>
    </r>
    <r>
      <rPr>
        <sz val="11"/>
        <rFont val="Times New Roman"/>
        <family val="1"/>
        <charset val="238"/>
      </rPr>
      <t xml:space="preserve"> a </t>
    </r>
    <r>
      <rPr>
        <b/>
        <sz val="11"/>
        <rFont val="Times New Roman"/>
        <family val="1"/>
        <charset val="238"/>
      </rPr>
      <t>zařazením 1</t>
    </r>
    <r>
      <rPr>
        <sz val="11"/>
        <rFont val="Times New Roman"/>
        <family val="1"/>
        <charset val="238"/>
      </rPr>
      <t xml:space="preserve"> započítává se PUČ)</t>
    </r>
  </si>
  <si>
    <t>nebude započítáno do rozpočtu, refundace z FP/CXI/NTI</t>
  </si>
  <si>
    <t>FP-KCH</t>
  </si>
  <si>
    <r>
      <t xml:space="preserve">osobní číslo 
ve tvaru
</t>
    </r>
    <r>
      <rPr>
        <b/>
        <sz val="12"/>
        <color indexed="48"/>
        <rFont val="Times New Roman"/>
        <family val="1"/>
        <charset val="238"/>
      </rPr>
      <t>Mxxxxxxxx</t>
    </r>
  </si>
  <si>
    <r>
      <t>příjmení, jméno                      (</t>
    </r>
    <r>
      <rPr>
        <b/>
        <i/>
        <sz val="11"/>
        <rFont val="Times New Roman"/>
        <family val="1"/>
        <charset val="238"/>
      </rPr>
      <t>řaženo abecedně</t>
    </r>
    <r>
      <rPr>
        <b/>
        <sz val="12"/>
        <rFont val="Times New Roman"/>
        <family val="1"/>
        <charset val="238"/>
      </rPr>
      <t>)</t>
    </r>
  </si>
  <si>
    <t>číslo pracoviště 
(pouze pro DSP)</t>
  </si>
  <si>
    <t>výše stipendia v Kč</t>
  </si>
  <si>
    <t>R17000011</t>
  </si>
  <si>
    <t>KUNJIPARAMBIL ROHITH</t>
  </si>
  <si>
    <t>CxI</t>
  </si>
  <si>
    <t>R17000003</t>
  </si>
  <si>
    <t>SILVESTRI DANIELE</t>
  </si>
  <si>
    <t>R18000001</t>
  </si>
  <si>
    <t>ŽIŽKOVÁ RADMILA</t>
  </si>
  <si>
    <t>M20000236</t>
  </si>
  <si>
    <t>VRCHOVECKÁ STANISLAVA</t>
  </si>
  <si>
    <t>R19000001</t>
  </si>
  <si>
    <t>KULHÁNKOVÁ JOHANA</t>
  </si>
  <si>
    <t>Příděl dotace 117 celkem</t>
  </si>
  <si>
    <t>strženo PŘED rozdělením na ústavy</t>
  </si>
  <si>
    <t>celková přidělaná částka z NavRoz2023-kvestor (list 0)</t>
  </si>
  <si>
    <t>Dotace 117 k ROZDĚLENÍ</t>
  </si>
  <si>
    <t>DFM (CxI)</t>
  </si>
  <si>
    <t>DFM (FP-KCHT)</t>
  </si>
  <si>
    <t>DFM (REK-NTI)</t>
  </si>
  <si>
    <t>REK-NTI</t>
  </si>
  <si>
    <t>Provoz DFM</t>
  </si>
  <si>
    <t>konečná hodnota pro přepočet na ústavy</t>
  </si>
  <si>
    <t>Příděl části dotace podle počtu kvalifikační struktury DOC a PROF (list 4) - strženo PŘED rozdělením na ústavy</t>
  </si>
  <si>
    <t>Příděl části dotace podle kvalifikační struktury (list 4a) - strženo PŘED rozdělením na ústavy</t>
  </si>
  <si>
    <t>Publikační činnost pod DFM - refundace</t>
  </si>
  <si>
    <t>Příděl 117
PŘED refundací</t>
  </si>
  <si>
    <t>publikace refundace</t>
  </si>
  <si>
    <t>Příděl 117
rozdělení FINAL</t>
  </si>
  <si>
    <t>Publikace - vypláceno ústavy</t>
  </si>
  <si>
    <t>Publikace - vypláceno DFM</t>
  </si>
  <si>
    <t>Publikační činnost pod ÚSTAVY</t>
  </si>
  <si>
    <t>106 příděl z MŠMT</t>
  </si>
  <si>
    <t>106 k ROZDĚLENÍ (po úpravách na vstupu)</t>
  </si>
  <si>
    <t>Přepočet na provedené dislokace 2023 - rozdíl</t>
  </si>
  <si>
    <t>Podpora FoM (úprava na vstupu)</t>
  </si>
  <si>
    <r>
      <t xml:space="preserve">částka refundována rozpočtovou úpravou - </t>
    </r>
    <r>
      <rPr>
        <b/>
        <sz val="9"/>
        <color theme="1"/>
        <rFont val="Times New Roman"/>
        <family val="1"/>
        <charset val="238"/>
      </rPr>
      <t>nesnižuje příděl pro rozdělení</t>
    </r>
  </si>
  <si>
    <t>***FIX - mzdové náklady kmenových pracovníků, provozní náklady od roku 2019 = 3,8 MKč</t>
  </si>
  <si>
    <t>ze souboru M17+ hodnoceni 20xx FM.xlsx od ZK</t>
  </si>
  <si>
    <t>Žídek 1.7.22 (externí), Červa 1.1.22 (ITE), Yalcinkaya 1.1.22 (MTI), Salač 1.7.22 (FP)</t>
  </si>
  <si>
    <t>Rozpočet FM na rok 2024</t>
  </si>
  <si>
    <t>ROZPOČET TUL na 2024  (KVE: NavRoz24.xls)</t>
  </si>
  <si>
    <t>Celkem 106, 117, mínus odvody REK</t>
  </si>
  <si>
    <t>Rozdělení dotace (celé) na vzdělávací činnost - 106 - podle počtu bak., magisterských studentů a doktorandů na rok 2023/2024</t>
  </si>
  <si>
    <t>Počty vedených projektů, bakalářských a diplomových prací za akad. rok 2023/2024</t>
  </si>
  <si>
    <t>Příděl části dotace na vzdělávací činnost (činnost 106) podle počtu doktorandů (studujících standardní dobu studia + 1 rok = SDS+1) na rok 2024</t>
  </si>
  <si>
    <t>Posel 11.7.23 (externí)</t>
  </si>
  <si>
    <t>Celkový počet doc. a prof. je brán ze mzdové inventury platné k 31.12.2023</t>
  </si>
  <si>
    <t>2023/2024</t>
  </si>
  <si>
    <t>k 31. 12. 2023</t>
  </si>
  <si>
    <t>Úvazky FM k 31. 12. 2023</t>
  </si>
  <si>
    <t>doba trvání nastavení příplatku je dle délky platnosti akreditace</t>
  </si>
  <si>
    <t>RYCHLÝ PŘEHLED PŘÍPLATKŮ ZA GARANCI SP</t>
  </si>
  <si>
    <t>poznámka</t>
  </si>
  <si>
    <t>zadáno v GaP</t>
  </si>
  <si>
    <t>do 16. 10. 2030</t>
  </si>
  <si>
    <t>do 16. 8. 2028</t>
  </si>
  <si>
    <t>papírově</t>
  </si>
  <si>
    <t>do 13. 10. 2028</t>
  </si>
  <si>
    <t>do 6. 8. 2025</t>
  </si>
  <si>
    <t>do 16. 7. 2030</t>
  </si>
  <si>
    <t>do 13. 8. 2029</t>
  </si>
  <si>
    <t>do 4. 3. 2026</t>
  </si>
  <si>
    <t>do 31. 12. 2024</t>
  </si>
  <si>
    <t>kontrola na OOP 28.3.2024 - vše zadáno dle požadavku</t>
  </si>
  <si>
    <r>
      <t xml:space="preserve">MTI-pracovna pedagoga                            </t>
    </r>
    <r>
      <rPr>
        <sz val="10"/>
        <color indexed="10"/>
        <rFont val="Times New Roman CE"/>
        <charset val="238"/>
      </rPr>
      <t>3.17</t>
    </r>
  </si>
  <si>
    <r>
      <t xml:space="preserve">MTI-kancelář                                            </t>
    </r>
    <r>
      <rPr>
        <sz val="10"/>
        <color indexed="10"/>
        <rFont val="Times New Roman CE"/>
        <charset val="238"/>
      </rPr>
      <t>3.16</t>
    </r>
  </si>
  <si>
    <r>
      <t xml:space="preserve">MTI-pracovna pedagoga                            </t>
    </r>
    <r>
      <rPr>
        <sz val="10"/>
        <color indexed="10"/>
        <rFont val="Times New Roman CE"/>
        <charset val="238"/>
      </rPr>
      <t>3.12</t>
    </r>
  </si>
  <si>
    <r>
      <t xml:space="preserve">MTI-pracovna pedagoga                           </t>
    </r>
    <r>
      <rPr>
        <sz val="10"/>
        <color indexed="10"/>
        <rFont val="Times New Roman CE"/>
        <charset val="238"/>
      </rPr>
      <t>3.15</t>
    </r>
  </si>
  <si>
    <r>
      <t xml:space="preserve">MTI-pracovna pedagoga                              </t>
    </r>
    <r>
      <rPr>
        <sz val="10"/>
        <color indexed="10"/>
        <rFont val="Times New Roman CE"/>
        <charset val="238"/>
      </rPr>
      <t>3.22</t>
    </r>
  </si>
  <si>
    <r>
      <t xml:space="preserve">MTI-laboratoř                                              </t>
    </r>
    <r>
      <rPr>
        <sz val="10"/>
        <color indexed="10"/>
        <rFont val="Times New Roman CE"/>
        <charset val="238"/>
      </rPr>
      <t>3.23</t>
    </r>
  </si>
  <si>
    <r>
      <t xml:space="preserve">MTI-laboratoř                                              </t>
    </r>
    <r>
      <rPr>
        <sz val="10"/>
        <color indexed="10"/>
        <rFont val="Times New Roman CE"/>
        <charset val="238"/>
      </rPr>
      <t>3.24</t>
    </r>
  </si>
  <si>
    <r>
      <t xml:space="preserve">NTI-laboratoř                                               </t>
    </r>
    <r>
      <rPr>
        <sz val="10"/>
        <color indexed="10"/>
        <rFont val="Times New Roman CE"/>
        <charset val="238"/>
      </rPr>
      <t>3.25</t>
    </r>
  </si>
  <si>
    <r>
      <t xml:space="preserve">NTI-laboratoř                                               </t>
    </r>
    <r>
      <rPr>
        <sz val="10"/>
        <color indexed="10"/>
        <rFont val="Times New Roman CE"/>
        <charset val="238"/>
      </rPr>
      <t>3.30</t>
    </r>
  </si>
  <si>
    <r>
      <t xml:space="preserve">MTI-laboratoř                                                </t>
    </r>
    <r>
      <rPr>
        <sz val="10"/>
        <color indexed="10"/>
        <rFont val="Times New Roman CE"/>
        <charset val="238"/>
      </rPr>
      <t>3.29</t>
    </r>
  </si>
  <si>
    <r>
      <t xml:space="preserve">MTI-laboratoř                             </t>
    </r>
    <r>
      <rPr>
        <sz val="10"/>
        <color indexed="10"/>
        <rFont val="Times New Roman CE"/>
        <charset val="238"/>
      </rPr>
      <t>3.28</t>
    </r>
  </si>
  <si>
    <r>
      <t xml:space="preserve">MTI-laboratoř                                              </t>
    </r>
    <r>
      <rPr>
        <sz val="10"/>
        <color indexed="10"/>
        <rFont val="Times New Roman CE"/>
        <charset val="238"/>
      </rPr>
      <t>3.27</t>
    </r>
  </si>
  <si>
    <r>
      <t xml:space="preserve">MTI-pracovna pedagoga                              </t>
    </r>
    <r>
      <rPr>
        <sz val="10"/>
        <color indexed="10"/>
        <rFont val="Times New Roman CE"/>
        <charset val="238"/>
      </rPr>
      <t>3.26</t>
    </r>
  </si>
  <si>
    <r>
      <t xml:space="preserve">Zdroj: </t>
    </r>
    <r>
      <rPr>
        <b/>
        <sz val="12"/>
        <rFont val="Times New Roman"/>
        <family val="1"/>
        <charset val="238"/>
      </rPr>
      <t>Pasporty24.xls</t>
    </r>
  </si>
  <si>
    <t>PUČ na 2024</t>
  </si>
  <si>
    <t>KVE PUČ 2024:</t>
  </si>
  <si>
    <r>
      <t xml:space="preserve">Plochy FM </t>
    </r>
    <r>
      <rPr>
        <sz val="10"/>
        <rFont val="Times New Roman"/>
        <family val="1"/>
        <charset val="238"/>
      </rPr>
      <t>(Pasporty24 - K:\Rozpocet\Rok2024\Vypocet)</t>
    </r>
  </si>
  <si>
    <t>Rozpočet FM na rok 2024 - DFM, činnost 106</t>
  </si>
  <si>
    <t>2024 - mzdové náklady zaměstanců, kteří nejsou kmenovými pracovníky FM, ale podílejí se na vedení FM</t>
  </si>
  <si>
    <t>Šidlof</t>
  </si>
  <si>
    <t>Koprnický</t>
  </si>
  <si>
    <t>Černohorský</t>
  </si>
  <si>
    <t>Vitvarová</t>
  </si>
  <si>
    <t>** proděkan příplatek = 10.000 Kč</t>
  </si>
  <si>
    <t>Slavík</t>
  </si>
  <si>
    <t>STAG</t>
  </si>
  <si>
    <t>propagace</t>
  </si>
  <si>
    <t>IT správa</t>
  </si>
  <si>
    <t>DOD</t>
  </si>
  <si>
    <t>REK</t>
  </si>
  <si>
    <t>Rozpočet FM na rok 2024 - rozdělení celoškolské režie</t>
  </si>
  <si>
    <t>Rozpočet FM na rok 2024, započtení DFM</t>
  </si>
  <si>
    <t>Rozpočet FM na rok 2024 - celkový přehled po započtení DFM</t>
  </si>
  <si>
    <t>Stanovení režií, RozRez2024.xls</t>
  </si>
  <si>
    <t>ELETRIKA</t>
  </si>
  <si>
    <t>korekce REK</t>
  </si>
  <si>
    <t>pro rok 2024</t>
  </si>
  <si>
    <t>Staré akreditace</t>
  </si>
  <si>
    <t>z toho odebráno na Projekty BP + BP</t>
  </si>
  <si>
    <t>odebráno na kvalif.strukturu (4a)</t>
  </si>
  <si>
    <t>odebráno na podporu Doc/Prof (4)</t>
  </si>
  <si>
    <t>nevyplatitelní proděkani (9)</t>
  </si>
  <si>
    <t>Garanti (6)</t>
  </si>
  <si>
    <t>zkopírováno z tabulky od SO-DSP (DOKTORANDI_FM_REK_ROZPOČET_2024_fin.xlsx)</t>
  </si>
  <si>
    <t>rozhodnutí děkana</t>
  </si>
  <si>
    <r>
      <t>%</t>
    </r>
    <r>
      <rPr>
        <b/>
        <sz val="9"/>
        <color theme="9"/>
        <rFont val="Times New Roman"/>
        <family val="1"/>
        <charset val="238"/>
      </rPr>
      <t xml:space="preserve"> FM</t>
    </r>
    <r>
      <rPr>
        <b/>
        <sz val="9"/>
        <rFont val="Times New Roman"/>
        <family val="1"/>
        <charset val="238"/>
      </rPr>
      <t>/</t>
    </r>
    <r>
      <rPr>
        <b/>
        <sz val="9"/>
        <color rgb="FFFF0000"/>
        <rFont val="Times New Roman"/>
        <family val="1"/>
        <charset val="238"/>
      </rPr>
      <t>ext</t>
    </r>
  </si>
  <si>
    <t>n/a</t>
  </si>
  <si>
    <t>brát poslední inventuru v roce (data k 31.12.2023 pro stanovení rozpočtu na 2024)</t>
  </si>
  <si>
    <t>Zadat na dobu platnosti SP do GaP přes Návrh na mzdové a pracovní zařazení</t>
  </si>
  <si>
    <t>platnost SP</t>
  </si>
  <si>
    <r>
      <t xml:space="preserve">Rozpočet FM na rok 2024 - činn. 115 - SGS </t>
    </r>
    <r>
      <rPr>
        <sz val="14"/>
        <rFont val="Times New Roman"/>
        <family val="1"/>
        <charset val="238"/>
      </rPr>
      <t>(Specifický výzkum)</t>
    </r>
  </si>
  <si>
    <r>
      <t xml:space="preserve">Rozpočet FM na rok 2024 - činnost 117 </t>
    </r>
    <r>
      <rPr>
        <sz val="14"/>
        <rFont val="Times New Roman"/>
        <family val="1"/>
        <charset val="238"/>
      </rPr>
      <t>(institucionální podpora z MŠMT)</t>
    </r>
  </si>
  <si>
    <t>Rozpočet FM na rok 2024 - činn. 106</t>
  </si>
  <si>
    <t>Schváleno Akademickým senátem FMIMS dne xx. xx. 2024</t>
  </si>
  <si>
    <t>ze dne xx. xx. 2024</t>
  </si>
  <si>
    <t>Publikace, Metodika 17+</t>
  </si>
  <si>
    <t>2023-24</t>
  </si>
  <si>
    <t>Počet studentů na předmětu</t>
  </si>
  <si>
    <t>Poznámky</t>
  </si>
  <si>
    <t>Lichy/sudy</t>
  </si>
  <si>
    <t>19,4,19</t>
  </si>
  <si>
    <t>Pozor, KS nejsou rozvrhovane časově</t>
  </si>
  <si>
    <t>CZ</t>
  </si>
  <si>
    <t>EN</t>
  </si>
  <si>
    <t>Proč PZS zde?</t>
  </si>
  <si>
    <t>Obsazení‽</t>
  </si>
  <si>
    <t>Dělení na 4+1</t>
  </si>
  <si>
    <t>Softwarové inženýrství  STIN   (4+53)</t>
  </si>
  <si>
    <t>Rozvrh?</t>
  </si>
  <si>
    <t>trochu roztáhnuto oproti předch. roku</t>
  </si>
  <si>
    <t>už jen STIN</t>
  </si>
  <si>
    <t>MTI, garant LK Triskova</t>
  </si>
  <si>
    <t>18 a 19</t>
  </si>
  <si>
    <t>Metodika vědecké práce  MVPB  (11) 1/2 NTI</t>
  </si>
  <si>
    <t>Průmysl 4.0 a IoT   P4IOT  (10) 0 ITE</t>
  </si>
  <si>
    <t>Víkendy</t>
  </si>
  <si>
    <t>PR rozdělena na 2 (Mokrý)</t>
  </si>
  <si>
    <t>proč ne MTI?</t>
  </si>
  <si>
    <t>Náplň stejná? Plíva, Petržílka, Koprnický, BS?</t>
  </si>
  <si>
    <t>Semestrální stáž  SS  (6)   !!!!</t>
  </si>
  <si>
    <t>MEA je smíchaná s ME-N</t>
  </si>
  <si>
    <t>V rozvrhu chybí sudý/lichý u cv nebo jinak definice 1 h/týdně</t>
  </si>
  <si>
    <t>Není</t>
  </si>
  <si>
    <t>Vyučováno v ZS</t>
  </si>
  <si>
    <t>Je LS, ale v rozvrhu chybí info o rozsahu do 26.4.</t>
  </si>
  <si>
    <r>
      <t>Přepočet na 2023 s navýšením m</t>
    </r>
    <r>
      <rPr>
        <vertAlign val="superscript"/>
        <sz val="10"/>
        <rFont val="Times New Roman"/>
        <family val="1"/>
        <charset val="238"/>
      </rPr>
      <t>2</t>
    </r>
  </si>
  <si>
    <t>DODATEK - oprava Spos</t>
  </si>
  <si>
    <t>ročně bez odvodů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</si>
</sst>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Kč&quot;;\-#,##0.00\ &quot;Kč&quot;"/>
    <numFmt numFmtId="44" formatCode="_-* #,##0.00\ &quot;Kč&quot;_-;\-* #,##0.00\ &quot;Kč&quot;_-;_-* &quot;-&quot;??\ &quot;Kč&quot;_-;_-@_-"/>
    <numFmt numFmtId="164" formatCode="_-* #,##0.00\ _K_č_-;\-* #,##0.00\ _K_č_-;_-* &quot;-&quot;??\ _K_č_-;_-@_-"/>
    <numFmt numFmtId="165" formatCode="#,##0.0000"/>
    <numFmt numFmtId="166" formatCode="0.000"/>
    <numFmt numFmtId="167" formatCode="0.0%"/>
    <numFmt numFmtId="168" formatCode="0.000%"/>
    <numFmt numFmtId="169" formatCode="#,##0.00_ ;\-#,##0.00\ "/>
    <numFmt numFmtId="170" formatCode="_-* #,##0.000\ &quot;Kč&quot;_-;\-* #,##0.000\ &quot;Kč&quot;_-;_-* &quot;-&quot;??\ &quot;Kč&quot;_-;_-@_-"/>
    <numFmt numFmtId="171" formatCode="_-* #,##0.000\ &quot;Kč&quot;_-;\-* #,##0.000\ &quot;Kč&quot;_-;_-* &quot;-&quot;???\ &quot;Kč&quot;_-;_-@_-"/>
    <numFmt numFmtId="172" formatCode="_-* #,##0\ &quot;Kč&quot;_-;\-* #,##0\ &quot;Kč&quot;_-;_-* &quot;-&quot;???\ &quot;Kč&quot;_-;_-@_-"/>
    <numFmt numFmtId="173" formatCode="_-* #,##0\ &quot;Kč&quot;_-;\-* #,##0\ &quot;Kč&quot;_-;_-* &quot;-&quot;??\ &quot;Kč&quot;_-;_-@_-"/>
  </numFmts>
  <fonts count="148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i/>
      <sz val="10"/>
      <name val="Arial CE"/>
      <charset val="238"/>
    </font>
    <font>
      <sz val="10"/>
      <name val="Arial CE"/>
      <charset val="238"/>
    </font>
    <font>
      <sz val="12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4"/>
      <name val="Times New Roman"/>
      <family val="1"/>
      <charset val="238"/>
    </font>
    <font>
      <sz val="14"/>
      <name val="Times New Roman"/>
      <family val="1"/>
      <charset val="238"/>
    </font>
    <font>
      <b/>
      <sz val="12"/>
      <color indexed="10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sz val="11"/>
      <color indexed="12"/>
      <name val="Times New Roman"/>
      <family val="1"/>
      <charset val="238"/>
    </font>
    <font>
      <sz val="12"/>
      <color indexed="10"/>
      <name val="Times New Roman"/>
      <family val="1"/>
      <charset val="238"/>
    </font>
    <font>
      <sz val="12"/>
      <color indexed="12"/>
      <name val="Times New Roman"/>
      <family val="1"/>
      <charset val="238"/>
    </font>
    <font>
      <b/>
      <sz val="12"/>
      <color indexed="12"/>
      <name val="Times New Roman"/>
      <family val="1"/>
      <charset val="238"/>
    </font>
    <font>
      <b/>
      <i/>
      <sz val="12"/>
      <name val="Times New Roman"/>
      <family val="1"/>
      <charset val="238"/>
    </font>
    <font>
      <b/>
      <sz val="12"/>
      <color indexed="9"/>
      <name val="Times New Roman"/>
      <family val="1"/>
      <charset val="238"/>
    </font>
    <font>
      <sz val="10"/>
      <name val="Times New Roman"/>
      <family val="1"/>
      <charset val="238"/>
    </font>
    <font>
      <b/>
      <sz val="13"/>
      <name val="Times New Roman"/>
      <family val="1"/>
      <charset val="238"/>
    </font>
    <font>
      <sz val="7"/>
      <name val="Times New Roman"/>
      <family val="1"/>
      <charset val="238"/>
    </font>
    <font>
      <sz val="13"/>
      <name val="Times New Roman"/>
      <family val="1"/>
      <charset val="238"/>
    </font>
    <font>
      <i/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0.5"/>
      <name val="Times New Roman"/>
      <family val="1"/>
      <charset val="238"/>
    </font>
    <font>
      <b/>
      <sz val="12"/>
      <color indexed="17"/>
      <name val="Times New Roman"/>
      <family val="1"/>
      <charset val="238"/>
    </font>
    <font>
      <b/>
      <sz val="12"/>
      <color indexed="61"/>
      <name val="Times New Roman"/>
      <family val="1"/>
      <charset val="238"/>
    </font>
    <font>
      <b/>
      <sz val="12"/>
      <color indexed="14"/>
      <name val="Times New Roman"/>
      <family val="1"/>
      <charset val="238"/>
    </font>
    <font>
      <b/>
      <sz val="12"/>
      <color indexed="50"/>
      <name val="Times New Roman"/>
      <family val="1"/>
      <charset val="238"/>
    </font>
    <font>
      <b/>
      <sz val="14"/>
      <color indexed="10"/>
      <name val="Times New Roman"/>
      <family val="1"/>
      <charset val="238"/>
    </font>
    <font>
      <b/>
      <sz val="12"/>
      <color indexed="48"/>
      <name val="Times New Roman"/>
      <family val="1"/>
      <charset val="238"/>
    </font>
    <font>
      <b/>
      <sz val="14"/>
      <color indexed="50"/>
      <name val="Times New Roman"/>
      <family val="1"/>
      <charset val="238"/>
    </font>
    <font>
      <i/>
      <sz val="7"/>
      <name val="Times New Roman"/>
      <family val="1"/>
      <charset val="238"/>
    </font>
    <font>
      <sz val="14"/>
      <color indexed="50"/>
      <name val="Times New Roman"/>
      <family val="1"/>
      <charset val="238"/>
    </font>
    <font>
      <sz val="11"/>
      <color indexed="48"/>
      <name val="Times New Roman"/>
      <family val="1"/>
      <charset val="238"/>
    </font>
    <font>
      <b/>
      <sz val="16"/>
      <name val="Times New Roman"/>
      <family val="1"/>
      <charset val="238"/>
    </font>
    <font>
      <b/>
      <sz val="14"/>
      <color indexed="14"/>
      <name val="Times New Roman"/>
      <family val="1"/>
      <charset val="238"/>
    </font>
    <font>
      <b/>
      <sz val="14"/>
      <color indexed="61"/>
      <name val="Times New Roman"/>
      <family val="1"/>
      <charset val="238"/>
    </font>
    <font>
      <i/>
      <sz val="10"/>
      <name val="Times New Roman"/>
      <family val="1"/>
      <charset val="238"/>
    </font>
    <font>
      <b/>
      <i/>
      <sz val="10"/>
      <name val="Times New Roman"/>
      <family val="1"/>
      <charset val="238"/>
    </font>
    <font>
      <b/>
      <i/>
      <sz val="14"/>
      <name val="Times New Roman"/>
      <family val="1"/>
      <charset val="238"/>
    </font>
    <font>
      <b/>
      <sz val="9"/>
      <name val="Times New Roman"/>
      <family val="1"/>
      <charset val="238"/>
    </font>
    <font>
      <sz val="9"/>
      <name val="Times New Roman"/>
      <family val="1"/>
      <charset val="238"/>
    </font>
    <font>
      <b/>
      <sz val="20"/>
      <name val="Times New Roman"/>
      <family val="1"/>
      <charset val="238"/>
    </font>
    <font>
      <sz val="10"/>
      <color indexed="61"/>
      <name val="Times New Roman"/>
      <family val="1"/>
      <charset val="238"/>
    </font>
    <font>
      <sz val="10"/>
      <name val="Times New Roman CE"/>
      <family val="1"/>
      <charset val="238"/>
    </font>
    <font>
      <b/>
      <sz val="11"/>
      <color indexed="9"/>
      <name val="Times New Roman CE"/>
      <family val="1"/>
      <charset val="238"/>
    </font>
    <font>
      <i/>
      <sz val="10.5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1"/>
      <name val="Calibri"/>
      <family val="2"/>
      <charset val="238"/>
      <scheme val="minor"/>
    </font>
    <font>
      <sz val="12"/>
      <color rgb="FF9C0006"/>
      <name val="Calibri"/>
      <family val="2"/>
      <charset val="238"/>
      <scheme val="minor"/>
    </font>
    <font>
      <sz val="10"/>
      <color rgb="FFFF0000"/>
      <name val="Times New Roman"/>
      <family val="1"/>
      <charset val="238"/>
    </font>
    <font>
      <sz val="12"/>
      <color theme="9" tint="-0.249977111117893"/>
      <name val="Times New Roman"/>
      <family val="1"/>
      <charset val="238"/>
    </font>
    <font>
      <b/>
      <sz val="12"/>
      <color theme="0" tint="-0.34998626667073579"/>
      <name val="Times New Roman"/>
      <family val="1"/>
      <charset val="238"/>
    </font>
    <font>
      <sz val="12"/>
      <color theme="3" tint="0.39997558519241921"/>
      <name val="Times New Roman"/>
      <family val="1"/>
      <charset val="238"/>
    </font>
    <font>
      <sz val="14"/>
      <color theme="0" tint="-0.34998626667073579"/>
      <name val="Times New Roman"/>
      <family val="1"/>
      <charset val="238"/>
    </font>
    <font>
      <sz val="12"/>
      <color rgb="FFFF0000"/>
      <name val="Times New Roman"/>
      <family val="1"/>
      <charset val="238"/>
    </font>
    <font>
      <sz val="12"/>
      <color rgb="FF0000FF"/>
      <name val="Times New Roman"/>
      <family val="1"/>
      <charset val="238"/>
    </font>
    <font>
      <b/>
      <sz val="12"/>
      <color theme="3" tint="0.39997558519241921"/>
      <name val="Times New Roman"/>
      <family val="1"/>
      <charset val="238"/>
    </font>
    <font>
      <b/>
      <sz val="12"/>
      <color theme="9" tint="-0.249977111117893"/>
      <name val="Times New Roman"/>
      <family val="1"/>
      <charset val="238"/>
    </font>
    <font>
      <b/>
      <sz val="14"/>
      <color theme="0"/>
      <name val="Times New Roman"/>
      <family val="1"/>
      <charset val="238"/>
    </font>
    <font>
      <sz val="12"/>
      <color theme="5" tint="-0.249977111117893"/>
      <name val="Times New Roman"/>
      <family val="1"/>
      <charset val="238"/>
    </font>
    <font>
      <b/>
      <sz val="14"/>
      <color theme="6" tint="-0.249977111117893"/>
      <name val="Times New Roman"/>
      <family val="1"/>
      <charset val="238"/>
    </font>
    <font>
      <b/>
      <sz val="14"/>
      <color theme="3" tint="0.39997558519241921"/>
      <name val="Times New Roman"/>
      <family val="1"/>
      <charset val="238"/>
    </font>
    <font>
      <b/>
      <sz val="12"/>
      <color theme="0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2"/>
      <color theme="1"/>
      <name val="Times New Roman"/>
      <family val="1"/>
      <charset val="238"/>
    </font>
    <font>
      <i/>
      <sz val="10"/>
      <color theme="0" tint="-0.34998626667073579"/>
      <name val="Times New Roman"/>
      <family val="1"/>
      <charset val="238"/>
    </font>
    <font>
      <sz val="10"/>
      <color theme="0"/>
      <name val="Times New Roman"/>
      <family val="1"/>
      <charset val="238"/>
    </font>
    <font>
      <b/>
      <sz val="13"/>
      <color theme="0"/>
      <name val="Times New Roman"/>
      <family val="1"/>
      <charset val="238"/>
    </font>
    <font>
      <sz val="10"/>
      <color theme="3" tint="0.39997558519241921"/>
      <name val="Arial CE"/>
      <charset val="238"/>
    </font>
    <font>
      <b/>
      <sz val="12"/>
      <color theme="0" tint="-0.499984740745262"/>
      <name val="Times New Roman"/>
      <family val="1"/>
      <charset val="238"/>
    </font>
    <font>
      <sz val="12"/>
      <color theme="0" tint="-0.499984740745262"/>
      <name val="Times New Roman"/>
      <family val="1"/>
      <charset val="238"/>
    </font>
    <font>
      <sz val="10"/>
      <color theme="3" tint="0.39997558519241921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b/>
      <sz val="12"/>
      <color rgb="FF0000FF"/>
      <name val="Times New Roman"/>
      <family val="1"/>
      <charset val="238"/>
    </font>
    <font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0" tint="-0.499984740745262"/>
      <name val="Times New Roman"/>
      <family val="1"/>
      <charset val="238"/>
    </font>
    <font>
      <sz val="10"/>
      <color theme="5" tint="0.39997558519241921"/>
      <name val="Times New Roman"/>
      <family val="1"/>
      <charset val="238"/>
    </font>
    <font>
      <b/>
      <sz val="12"/>
      <color theme="4" tint="-0.249977111117893"/>
      <name val="Times New Roman"/>
      <family val="1"/>
      <charset val="238"/>
    </font>
    <font>
      <b/>
      <sz val="12"/>
      <color rgb="FF00B050"/>
      <name val="Times New Roman"/>
      <family val="1"/>
      <charset val="238"/>
    </font>
    <font>
      <sz val="12"/>
      <color theme="4" tint="0.39997558519241921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sz val="10"/>
      <color rgb="FF0000FF"/>
      <name val="Times New Roman"/>
      <family val="1"/>
      <charset val="238"/>
    </font>
    <font>
      <b/>
      <sz val="10"/>
      <color theme="0" tint="-0.499984740745262"/>
      <name val="Times New Roman"/>
      <family val="1"/>
      <charset val="238"/>
    </font>
    <font>
      <sz val="11"/>
      <color theme="0" tint="-0.499984740745262"/>
      <name val="Times New Roman"/>
      <family val="1"/>
      <charset val="238"/>
    </font>
    <font>
      <sz val="11"/>
      <color theme="0" tint="-0.14999847407452621"/>
      <name val="Times New Roman"/>
      <family val="1"/>
      <charset val="238"/>
    </font>
    <font>
      <b/>
      <sz val="14"/>
      <color theme="0" tint="-0.499984740745262"/>
      <name val="Times New Roman"/>
      <family val="1"/>
      <charset val="238"/>
    </font>
    <font>
      <sz val="14"/>
      <color theme="0" tint="-0.499984740745262"/>
      <name val="Times New Roman"/>
      <family val="1"/>
      <charset val="238"/>
    </font>
    <font>
      <sz val="12"/>
      <color theme="5" tint="0.39997558519241921"/>
      <name val="Times New Roman"/>
      <family val="1"/>
      <charset val="238"/>
    </font>
    <font>
      <sz val="9"/>
      <color theme="9" tint="-0.249977111117893"/>
      <name val="Calibri"/>
      <family val="2"/>
      <charset val="238"/>
      <scheme val="minor"/>
    </font>
    <font>
      <sz val="10"/>
      <name val="Arial"/>
      <family val="2"/>
      <charset val="238"/>
    </font>
    <font>
      <sz val="12"/>
      <color theme="8" tint="0.39997558519241921"/>
      <name val="Times New Roman"/>
      <family val="1"/>
      <charset val="238"/>
    </font>
    <font>
      <b/>
      <sz val="12"/>
      <color theme="8" tint="0.39997558519241921"/>
      <name val="Times New Roman"/>
      <family val="1"/>
      <charset val="238"/>
    </font>
    <font>
      <b/>
      <sz val="14"/>
      <color rgb="FFFF0000"/>
      <name val="Times New Roman"/>
      <family val="1"/>
      <charset val="238"/>
    </font>
    <font>
      <i/>
      <sz val="12"/>
      <color theme="0" tint="-0.49998474074526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sz val="12"/>
      <color theme="0" tint="-4.9989318521683403E-2"/>
      <name val="Times New Roman"/>
      <family val="1"/>
      <charset val="238"/>
    </font>
    <font>
      <u/>
      <sz val="10"/>
      <name val="Times New Roman"/>
      <family val="1"/>
      <charset val="238"/>
    </font>
    <font>
      <b/>
      <sz val="10"/>
      <name val="Arial CE"/>
      <charset val="238"/>
    </font>
    <font>
      <sz val="12"/>
      <color theme="9"/>
      <name val="Times New Roman"/>
      <family val="1"/>
      <charset val="238"/>
    </font>
    <font>
      <sz val="11"/>
      <color theme="0" tint="-0.249977111117893"/>
      <name val="Times New Roman"/>
      <family val="1"/>
      <charset val="238"/>
    </font>
    <font>
      <sz val="12"/>
      <color theme="0" tint="-0.249977111117893"/>
      <name val="Times New Roman"/>
      <family val="1"/>
      <charset val="238"/>
    </font>
    <font>
      <b/>
      <sz val="10"/>
      <name val="Arial"/>
      <family val="2"/>
      <charset val="238"/>
    </font>
    <font>
      <sz val="12"/>
      <color rgb="FFFF00FF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1"/>
      <color theme="3" tint="0.39997558519241921"/>
      <name val="Times New Roman"/>
      <family val="1"/>
      <charset val="238"/>
    </font>
    <font>
      <sz val="9"/>
      <color rgb="FFFF0000"/>
      <name val="Times New Roman"/>
      <family val="1"/>
      <charset val="238"/>
    </font>
    <font>
      <sz val="10"/>
      <color rgb="FF0070C0"/>
      <name val="Times New Roman"/>
      <family val="1"/>
      <charset val="238"/>
    </font>
    <font>
      <sz val="14"/>
      <color rgb="FFFF0000"/>
      <name val="Times New Roman"/>
      <family val="1"/>
      <charset val="238"/>
    </font>
    <font>
      <sz val="10"/>
      <color theme="4" tint="0.39997558519241921"/>
      <name val="Arial CE"/>
      <charset val="238"/>
    </font>
    <font>
      <sz val="11"/>
      <name val="Calibri"/>
      <family val="2"/>
      <charset val="238"/>
      <scheme val="minor"/>
    </font>
    <font>
      <b/>
      <i/>
      <u/>
      <sz val="11"/>
      <name val="Calibri"/>
      <family val="2"/>
      <charset val="238"/>
      <scheme val="minor"/>
    </font>
    <font>
      <sz val="11"/>
      <color rgb="FF0000FF"/>
      <name val="Calibri"/>
      <family val="2"/>
      <charset val="238"/>
      <scheme val="minor"/>
    </font>
    <font>
      <sz val="12"/>
      <color rgb="FF0000FF"/>
      <name val="Calibri"/>
      <family val="2"/>
      <charset val="238"/>
      <scheme val="minor"/>
    </font>
    <font>
      <sz val="8"/>
      <name val="Arial CE"/>
      <charset val="238"/>
    </font>
    <font>
      <i/>
      <sz val="11"/>
      <name val="Times New Roman"/>
      <family val="1"/>
      <charset val="238"/>
    </font>
    <font>
      <b/>
      <i/>
      <u/>
      <sz val="12"/>
      <name val="Times New Roman"/>
      <family val="1"/>
      <charset val="238"/>
    </font>
    <font>
      <b/>
      <i/>
      <sz val="11"/>
      <name val="Times New Roman"/>
      <family val="1"/>
      <charset val="238"/>
    </font>
    <font>
      <sz val="11"/>
      <color indexed="8"/>
      <name val="Calibri"/>
      <family val="2"/>
      <charset val="238"/>
    </font>
    <font>
      <sz val="9"/>
      <color theme="1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sz val="12"/>
      <color theme="0" tint="-0.34998626667073579"/>
      <name val="Times New Roman"/>
      <family val="1"/>
      <charset val="238"/>
    </font>
    <font>
      <b/>
      <sz val="16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0"/>
      <color indexed="10"/>
      <name val="Times New Roman CE"/>
      <charset val="238"/>
    </font>
    <font>
      <sz val="12"/>
      <color theme="0" tint="-0.499984740745262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sz val="9"/>
      <color theme="8" tint="0.39997558519241921"/>
      <name val="Times New Roman"/>
      <family val="1"/>
      <charset val="238"/>
    </font>
    <font>
      <b/>
      <sz val="10"/>
      <color theme="8" tint="0.39997558519241921"/>
      <name val="Times New Roman"/>
      <family val="1"/>
      <charset val="238"/>
    </font>
    <font>
      <sz val="9"/>
      <color theme="9"/>
      <name val="Times New Roman"/>
      <family val="1"/>
      <charset val="238"/>
    </font>
    <font>
      <b/>
      <sz val="9"/>
      <color theme="9"/>
      <name val="Times New Roman"/>
      <family val="1"/>
      <charset val="238"/>
    </font>
    <font>
      <b/>
      <sz val="9"/>
      <color rgb="FFFF0000"/>
      <name val="Times New Roman"/>
      <family val="1"/>
      <charset val="238"/>
    </font>
    <font>
      <sz val="8"/>
      <color theme="0" tint="-0.34998626667073579"/>
      <name val="Arial CE"/>
      <charset val="238"/>
    </font>
    <font>
      <sz val="8"/>
      <color theme="0" tint="-0.34998626667073579"/>
      <name val="Arial"/>
      <family val="2"/>
      <charset val="238"/>
    </font>
    <font>
      <b/>
      <sz val="8"/>
      <color theme="0" tint="-0.34998626667073579"/>
      <name val="Arial CE"/>
      <charset val="238"/>
    </font>
    <font>
      <b/>
      <sz val="8"/>
      <color theme="0" tint="-0.34998626667073579"/>
      <name val="Arial"/>
      <family val="2"/>
      <charset val="238"/>
    </font>
    <font>
      <sz val="9"/>
      <color theme="0" tint="-0.34998626667073579"/>
      <name val="Arial CE"/>
      <charset val="238"/>
    </font>
    <font>
      <b/>
      <sz val="9"/>
      <color theme="0" tint="-0.34998626667073579"/>
      <name val="Arial"/>
      <family val="2"/>
      <charset val="238"/>
    </font>
    <font>
      <b/>
      <sz val="12"/>
      <color theme="1"/>
      <name val="Times New Roman"/>
      <family val="1"/>
      <charset val="238"/>
    </font>
    <font>
      <vertAlign val="superscript"/>
      <sz val="10"/>
      <name val="Times New Roman"/>
      <family val="1"/>
      <charset val="238"/>
    </font>
  </fonts>
  <fills count="4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0CED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D6A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0">
    <xf numFmtId="0" fontId="0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2" fillId="0" borderId="0"/>
    <xf numFmtId="0" fontId="52" fillId="0" borderId="0"/>
    <xf numFmtId="0" fontId="6" fillId="7" borderId="46" applyNumberFormat="0" applyFont="0" applyAlignment="0" applyProtection="0"/>
    <xf numFmtId="9" fontId="6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3" fillId="8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1072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3" fontId="7" fillId="0" borderId="0" xfId="0" applyNumberFormat="1" applyFont="1" applyFill="1" applyAlignment="1">
      <alignment horizontal="center"/>
    </xf>
    <xf numFmtId="3" fontId="7" fillId="0" borderId="0" xfId="0" applyNumberFormat="1" applyFont="1"/>
    <xf numFmtId="0" fontId="8" fillId="0" borderId="0" xfId="0" applyFont="1" applyAlignment="1">
      <alignment horizontal="right"/>
    </xf>
    <xf numFmtId="0" fontId="13" fillId="0" borderId="0" xfId="0" applyFont="1" applyFill="1"/>
    <xf numFmtId="0" fontId="13" fillId="0" borderId="0" xfId="0" applyFont="1"/>
    <xf numFmtId="0" fontId="15" fillId="0" borderId="0" xfId="0" applyFont="1" applyAlignment="1">
      <alignment horizontal="center"/>
    </xf>
    <xf numFmtId="0" fontId="8" fillId="0" borderId="0" xfId="0" applyFont="1" applyFill="1"/>
    <xf numFmtId="3" fontId="16" fillId="0" borderId="0" xfId="0" applyNumberFormat="1" applyFont="1" applyFill="1" applyBorder="1" applyAlignment="1">
      <alignment horizontal="center"/>
    </xf>
    <xf numFmtId="3" fontId="16" fillId="0" borderId="0" xfId="0" applyNumberFormat="1" applyFont="1" applyFill="1" applyBorder="1"/>
    <xf numFmtId="3" fontId="7" fillId="0" borderId="0" xfId="0" applyNumberFormat="1" applyFont="1" applyFill="1"/>
    <xf numFmtId="3" fontId="17" fillId="0" borderId="0" xfId="0" applyNumberFormat="1" applyFont="1" applyFill="1" applyBorder="1"/>
    <xf numFmtId="3" fontId="16" fillId="0" borderId="0" xfId="0" applyNumberFormat="1" applyFont="1" applyBorder="1"/>
    <xf numFmtId="0" fontId="15" fillId="0" borderId="0" xfId="0" applyFont="1"/>
    <xf numFmtId="0" fontId="7" fillId="0" borderId="0" xfId="0" applyFont="1" applyFill="1" applyAlignment="1">
      <alignment horizontal="center"/>
    </xf>
    <xf numFmtId="0" fontId="7" fillId="0" borderId="0" xfId="0" applyFont="1" applyFill="1"/>
    <xf numFmtId="4" fontId="8" fillId="0" borderId="0" xfId="0" applyNumberFormat="1" applyFont="1" applyFill="1" applyBorder="1" applyAlignment="1">
      <alignment horizontal="right"/>
    </xf>
    <xf numFmtId="0" fontId="18" fillId="0" borderId="0" xfId="0" applyFont="1" applyFill="1"/>
    <xf numFmtId="0" fontId="7" fillId="0" borderId="0" xfId="0" applyFont="1" applyFill="1" applyAlignment="1">
      <alignment horizontal="right"/>
    </xf>
    <xf numFmtId="0" fontId="8" fillId="0" borderId="0" xfId="0" applyFont="1" applyFill="1" applyAlignment="1">
      <alignment horizontal="center" wrapText="1"/>
    </xf>
    <xf numFmtId="4" fontId="7" fillId="0" borderId="0" xfId="0" applyNumberFormat="1" applyFont="1"/>
    <xf numFmtId="4" fontId="8" fillId="0" borderId="0" xfId="0" applyNumberFormat="1" applyFont="1"/>
    <xf numFmtId="4" fontId="8" fillId="0" borderId="2" xfId="0" applyNumberFormat="1" applyFont="1" applyBorder="1" applyAlignment="1">
      <alignment horizontal="center"/>
    </xf>
    <xf numFmtId="4" fontId="7" fillId="0" borderId="0" xfId="0" applyNumberFormat="1" applyFont="1" applyAlignment="1">
      <alignment horizontal="center"/>
    </xf>
    <xf numFmtId="4" fontId="8" fillId="0" borderId="1" xfId="0" applyNumberFormat="1" applyFont="1" applyFill="1" applyBorder="1" applyAlignment="1">
      <alignment horizontal="center"/>
    </xf>
    <xf numFmtId="4" fontId="8" fillId="0" borderId="0" xfId="0" applyNumberFormat="1" applyFont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0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center" wrapText="1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21" fillId="0" borderId="0" xfId="0" applyFont="1"/>
    <xf numFmtId="0" fontId="8" fillId="0" borderId="1" xfId="0" applyFont="1" applyBorder="1" applyAlignment="1">
      <alignment horizontal="right"/>
    </xf>
    <xf numFmtId="0" fontId="8" fillId="0" borderId="0" xfId="0" applyFont="1" applyFill="1" applyBorder="1"/>
    <xf numFmtId="0" fontId="8" fillId="0" borderId="3" xfId="0" applyFont="1" applyBorder="1" applyAlignment="1">
      <alignment horizontal="right"/>
    </xf>
    <xf numFmtId="0" fontId="7" fillId="0" borderId="0" xfId="0" applyFont="1" applyBorder="1"/>
    <xf numFmtId="0" fontId="8" fillId="0" borderId="0" xfId="0" applyFont="1" applyAlignment="1">
      <alignment horizontal="left"/>
    </xf>
    <xf numFmtId="0" fontId="7" fillId="0" borderId="0" xfId="0" applyFont="1" applyBorder="1" applyAlignment="1">
      <alignment horizontal="right"/>
    </xf>
    <xf numFmtId="3" fontId="10" fillId="0" borderId="0" xfId="0" applyNumberFormat="1" applyFont="1" applyAlignment="1">
      <alignment horizontal="center"/>
    </xf>
    <xf numFmtId="0" fontId="54" fillId="0" borderId="0" xfId="0" applyFont="1"/>
    <xf numFmtId="0" fontId="10" fillId="0" borderId="0" xfId="0" applyFont="1" applyFill="1" applyBorder="1"/>
    <xf numFmtId="3" fontId="9" fillId="0" borderId="2" xfId="0" applyNumberFormat="1" applyFont="1" applyFill="1" applyBorder="1" applyAlignment="1">
      <alignment horizontal="right"/>
    </xf>
    <xf numFmtId="3" fontId="9" fillId="0" borderId="0" xfId="0" applyNumberFormat="1" applyFont="1" applyFill="1" applyBorder="1" applyAlignment="1">
      <alignment horizontal="right"/>
    </xf>
    <xf numFmtId="0" fontId="23" fillId="0" borderId="0" xfId="0" applyFont="1"/>
    <xf numFmtId="4" fontId="8" fillId="0" borderId="1" xfId="0" applyNumberFormat="1" applyFont="1" applyBorder="1" applyAlignment="1">
      <alignment horizontal="right"/>
    </xf>
    <xf numFmtId="49" fontId="7" fillId="0" borderId="0" xfId="0" applyNumberFormat="1" applyFont="1" applyFill="1" applyBorder="1"/>
    <xf numFmtId="0" fontId="19" fillId="0" borderId="0" xfId="0" applyFont="1" applyFill="1"/>
    <xf numFmtId="2" fontId="7" fillId="0" borderId="0" xfId="0" applyNumberFormat="1" applyFont="1"/>
    <xf numFmtId="1" fontId="7" fillId="0" borderId="0" xfId="0" applyNumberFormat="1" applyFont="1" applyFill="1" applyBorder="1" applyAlignment="1">
      <alignment horizontal="center"/>
    </xf>
    <xf numFmtId="4" fontId="57" fillId="0" borderId="0" xfId="0" applyNumberFormat="1" applyFont="1"/>
    <xf numFmtId="4" fontId="55" fillId="0" borderId="0" xfId="0" applyNumberFormat="1" applyFont="1" applyFill="1" applyAlignment="1">
      <alignment horizontal="center"/>
    </xf>
    <xf numFmtId="4" fontId="7" fillId="0" borderId="0" xfId="0" applyNumberFormat="1" applyFont="1" applyFill="1" applyBorder="1"/>
    <xf numFmtId="3" fontId="9" fillId="9" borderId="2" xfId="0" applyNumberFormat="1" applyFont="1" applyFill="1" applyBorder="1"/>
    <xf numFmtId="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0" applyNumberFormat="1" applyFont="1" applyBorder="1" applyAlignment="1">
      <alignment horizontal="right"/>
    </xf>
    <xf numFmtId="3" fontId="9" fillId="0" borderId="0" xfId="0" applyNumberFormat="1" applyFont="1" applyBorder="1" applyAlignment="1">
      <alignment horizontal="right"/>
    </xf>
    <xf numFmtId="3" fontId="10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10" fillId="0" borderId="0" xfId="0" applyNumberFormat="1" applyFont="1" applyFill="1" applyAlignment="1">
      <alignment horizontal="right"/>
    </xf>
    <xf numFmtId="0" fontId="10" fillId="0" borderId="0" xfId="0" applyFont="1" applyFill="1"/>
    <xf numFmtId="3" fontId="8" fillId="0" borderId="0" xfId="0" applyNumberFormat="1" applyFont="1" applyBorder="1" applyAlignment="1">
      <alignment horizontal="center"/>
    </xf>
    <xf numFmtId="0" fontId="20" fillId="0" borderId="0" xfId="0" applyFont="1" applyBorder="1"/>
    <xf numFmtId="3" fontId="9" fillId="0" borderId="0" xfId="0" applyNumberFormat="1" applyFont="1" applyFill="1" applyBorder="1" applyAlignment="1"/>
    <xf numFmtId="3" fontId="9" fillId="0" borderId="0" xfId="0" applyNumberFormat="1" applyFont="1" applyBorder="1" applyAlignment="1"/>
    <xf numFmtId="0" fontId="9" fillId="0" borderId="0" xfId="0" applyFont="1" applyFill="1"/>
    <xf numFmtId="0" fontId="8" fillId="0" borderId="0" xfId="0" applyFont="1" applyFill="1" applyAlignment="1">
      <alignment horizontal="center"/>
    </xf>
    <xf numFmtId="4" fontId="8" fillId="0" borderId="0" xfId="0" applyNumberFormat="1" applyFont="1" applyFill="1" applyAlignment="1">
      <alignment horizontal="center" wrapText="1"/>
    </xf>
    <xf numFmtId="0" fontId="26" fillId="0" borderId="0" xfId="0" applyFont="1" applyAlignment="1">
      <alignment horizontal="right"/>
    </xf>
    <xf numFmtId="4" fontId="10" fillId="0" borderId="0" xfId="0" applyNumberFormat="1" applyFont="1" applyBorder="1" applyAlignment="1">
      <alignment horizontal="right"/>
    </xf>
    <xf numFmtId="3" fontId="7" fillId="0" borderId="0" xfId="0" applyNumberFormat="1" applyFont="1" applyFill="1" applyBorder="1" applyAlignment="1" applyProtection="1"/>
    <xf numFmtId="4" fontId="8" fillId="0" borderId="0" xfId="0" applyNumberFormat="1" applyFont="1" applyFill="1" applyBorder="1" applyAlignment="1">
      <alignment horizontal="center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vertical="center"/>
    </xf>
    <xf numFmtId="0" fontId="19" fillId="0" borderId="0" xfId="0" applyFont="1" applyFill="1" applyBorder="1"/>
    <xf numFmtId="4" fontId="57" fillId="0" borderId="0" xfId="0" applyNumberFormat="1" applyFont="1" applyFill="1" applyBorder="1"/>
    <xf numFmtId="3" fontId="12" fillId="0" borderId="0" xfId="0" applyNumberFormat="1" applyFont="1" applyBorder="1" applyAlignment="1">
      <alignment horizontal="center" wrapText="1"/>
    </xf>
    <xf numFmtId="4" fontId="8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3" fontId="10" fillId="0" borderId="0" xfId="0" applyNumberFormat="1" applyFont="1"/>
    <xf numFmtId="3" fontId="58" fillId="0" borderId="0" xfId="0" applyNumberFormat="1" applyFont="1" applyFill="1" applyAlignment="1">
      <alignment horizontal="right"/>
    </xf>
    <xf numFmtId="0" fontId="58" fillId="0" borderId="0" xfId="0" applyFont="1" applyFill="1"/>
    <xf numFmtId="3" fontId="10" fillId="0" borderId="0" xfId="0" applyNumberFormat="1" applyFont="1" applyFill="1" applyBorder="1" applyAlignment="1">
      <alignment horizontal="center"/>
    </xf>
    <xf numFmtId="4" fontId="10" fillId="0" borderId="0" xfId="0" applyNumberFormat="1" applyFont="1" applyFill="1" applyBorder="1" applyAlignment="1">
      <alignment horizontal="center"/>
    </xf>
    <xf numFmtId="4" fontId="7" fillId="0" borderId="0" xfId="0" applyNumberFormat="1" applyFont="1" applyFill="1" applyBorder="1" applyAlignment="1">
      <alignment horizontal="center"/>
    </xf>
    <xf numFmtId="3" fontId="7" fillId="0" borderId="0" xfId="0" applyNumberFormat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3" fontId="10" fillId="0" borderId="0" xfId="0" applyNumberFormat="1" applyFont="1" applyFill="1" applyBorder="1" applyAlignment="1">
      <alignment horizontal="right"/>
    </xf>
    <xf numFmtId="3" fontId="7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9" fontId="8" fillId="0" borderId="0" xfId="0" applyNumberFormat="1" applyFont="1" applyFill="1" applyBorder="1" applyAlignment="1">
      <alignment horizontal="center" wrapText="1"/>
    </xf>
    <xf numFmtId="4" fontId="10" fillId="0" borderId="0" xfId="6" applyNumberFormat="1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9" fontId="9" fillId="0" borderId="0" xfId="6" applyFont="1" applyFill="1"/>
    <xf numFmtId="3" fontId="8" fillId="0" borderId="0" xfId="0" applyNumberFormat="1" applyFont="1" applyBorder="1" applyAlignment="1">
      <alignment horizontal="right"/>
    </xf>
    <xf numFmtId="3" fontId="8" fillId="0" borderId="0" xfId="0" applyNumberFormat="1" applyFont="1"/>
    <xf numFmtId="0" fontId="24" fillId="0" borderId="0" xfId="0" applyFont="1" applyFill="1"/>
    <xf numFmtId="2" fontId="7" fillId="0" borderId="0" xfId="0" applyNumberFormat="1" applyFont="1" applyFill="1" applyBorder="1" applyAlignment="1">
      <alignment horizontal="center"/>
    </xf>
    <xf numFmtId="9" fontId="7" fillId="0" borderId="0" xfId="6" applyFont="1"/>
    <xf numFmtId="4" fontId="7" fillId="0" borderId="0" xfId="0" applyNumberFormat="1" applyFont="1" applyFill="1" applyAlignment="1">
      <alignment horizontal="center"/>
    </xf>
    <xf numFmtId="3" fontId="8" fillId="0" borderId="0" xfId="0" applyNumberFormat="1" applyFont="1" applyFill="1" applyAlignment="1">
      <alignment horizontal="right"/>
    </xf>
    <xf numFmtId="49" fontId="7" fillId="0" borderId="0" xfId="0" applyNumberFormat="1" applyFont="1" applyFill="1" applyAlignment="1">
      <alignment horizontal="center"/>
    </xf>
    <xf numFmtId="4" fontId="8" fillId="0" borderId="0" xfId="0" applyNumberFormat="1" applyFont="1" applyFill="1" applyAlignment="1">
      <alignment horizontal="center"/>
    </xf>
    <xf numFmtId="4" fontId="8" fillId="2" borderId="0" xfId="0" applyNumberFormat="1" applyFont="1" applyFill="1" applyAlignment="1">
      <alignment horizontal="center"/>
    </xf>
    <xf numFmtId="0" fontId="16" fillId="0" borderId="0" xfId="0" applyFont="1" applyFill="1"/>
    <xf numFmtId="4" fontId="8" fillId="3" borderId="0" xfId="0" applyNumberFormat="1" applyFont="1" applyFill="1" applyAlignment="1">
      <alignment horizontal="center"/>
    </xf>
    <xf numFmtId="3" fontId="7" fillId="0" borderId="0" xfId="0" applyNumberFormat="1" applyFont="1" applyFill="1" applyAlignment="1">
      <alignment horizontal="right"/>
    </xf>
    <xf numFmtId="0" fontId="27" fillId="0" borderId="1" xfId="0" applyFont="1" applyFill="1" applyBorder="1"/>
    <xf numFmtId="0" fontId="8" fillId="0" borderId="1" xfId="0" applyFont="1" applyFill="1" applyBorder="1" applyAlignment="1">
      <alignment horizontal="center" wrapText="1"/>
    </xf>
    <xf numFmtId="3" fontId="8" fillId="0" borderId="1" xfId="0" applyNumberFormat="1" applyFont="1" applyFill="1" applyBorder="1" applyAlignment="1">
      <alignment horizontal="center" wrapText="1"/>
    </xf>
    <xf numFmtId="49" fontId="28" fillId="0" borderId="1" xfId="0" applyNumberFormat="1" applyFont="1" applyFill="1" applyBorder="1" applyAlignment="1">
      <alignment horizontal="center" wrapText="1"/>
    </xf>
    <xf numFmtId="4" fontId="8" fillId="0" borderId="1" xfId="0" applyNumberFormat="1" applyFont="1" applyFill="1" applyBorder="1" applyAlignment="1">
      <alignment horizontal="center" wrapText="1"/>
    </xf>
    <xf numFmtId="3" fontId="8" fillId="0" borderId="0" xfId="0" applyNumberFormat="1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4" fontId="8" fillId="0" borderId="2" xfId="0" applyNumberFormat="1" applyFont="1" applyFill="1" applyBorder="1" applyAlignment="1">
      <alignment horizontal="center"/>
    </xf>
    <xf numFmtId="0" fontId="17" fillId="0" borderId="0" xfId="0" applyFont="1" applyFill="1"/>
    <xf numFmtId="1" fontId="7" fillId="0" borderId="0" xfId="0" applyNumberFormat="1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0" fontId="24" fillId="0" borderId="0" xfId="0" applyFont="1" applyFill="1" applyBorder="1"/>
    <xf numFmtId="4" fontId="7" fillId="0" borderId="0" xfId="0" applyNumberFormat="1" applyFont="1" applyFill="1" applyAlignment="1">
      <alignment horizontal="right"/>
    </xf>
    <xf numFmtId="4" fontId="7" fillId="3" borderId="0" xfId="0" applyNumberFormat="1" applyFont="1" applyFill="1" applyAlignment="1">
      <alignment horizontal="center"/>
    </xf>
    <xf numFmtId="0" fontId="60" fillId="0" borderId="0" xfId="0" applyFont="1" applyFill="1"/>
    <xf numFmtId="2" fontId="7" fillId="0" borderId="0" xfId="0" applyNumberFormat="1" applyFont="1" applyFill="1" applyAlignment="1">
      <alignment horizontal="center"/>
    </xf>
    <xf numFmtId="0" fontId="7" fillId="0" borderId="0" xfId="8" applyFont="1" applyFill="1" applyAlignment="1">
      <alignment horizontal="center"/>
    </xf>
    <xf numFmtId="3" fontId="7" fillId="0" borderId="0" xfId="8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center"/>
    </xf>
    <xf numFmtId="3" fontId="7" fillId="0" borderId="0" xfId="0" applyNumberFormat="1" applyFont="1" applyFill="1" applyBorder="1"/>
    <xf numFmtId="4" fontId="8" fillId="0" borderId="0" xfId="0" applyNumberFormat="1" applyFont="1" applyFill="1" applyBorder="1"/>
    <xf numFmtId="3" fontId="24" fillId="0" borderId="0" xfId="0" applyNumberFormat="1" applyFont="1" applyFill="1" applyAlignment="1">
      <alignment horizontal="center"/>
    </xf>
    <xf numFmtId="0" fontId="7" fillId="0" borderId="4" xfId="0" applyFont="1" applyFill="1" applyBorder="1" applyAlignment="1">
      <alignment horizontal="center"/>
    </xf>
    <xf numFmtId="3" fontId="8" fillId="0" borderId="5" xfId="0" applyNumberFormat="1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4" fontId="7" fillId="0" borderId="4" xfId="0" applyNumberFormat="1" applyFont="1" applyFill="1" applyBorder="1" applyAlignment="1">
      <alignment horizontal="center"/>
    </xf>
    <xf numFmtId="4" fontId="7" fillId="0" borderId="6" xfId="0" applyNumberFormat="1" applyFont="1" applyFill="1" applyBorder="1" applyAlignment="1">
      <alignment horizontal="center"/>
    </xf>
    <xf numFmtId="4" fontId="7" fillId="0" borderId="4" xfId="0" applyNumberFormat="1" applyFont="1" applyFill="1" applyBorder="1" applyAlignment="1">
      <alignment horizontal="right"/>
    </xf>
    <xf numFmtId="4" fontId="8" fillId="0" borderId="5" xfId="0" applyNumberFormat="1" applyFont="1" applyFill="1" applyBorder="1" applyAlignment="1">
      <alignment horizontal="right"/>
    </xf>
    <xf numFmtId="3" fontId="8" fillId="0" borderId="6" xfId="0" applyNumberFormat="1" applyFont="1" applyFill="1" applyBorder="1" applyAlignment="1">
      <alignment horizontal="right"/>
    </xf>
    <xf numFmtId="2" fontId="7" fillId="0" borderId="7" xfId="0" applyNumberFormat="1" applyFont="1" applyBorder="1"/>
    <xf numFmtId="4" fontId="7" fillId="0" borderId="8" xfId="0" applyNumberFormat="1" applyFont="1" applyFill="1" applyBorder="1" applyAlignment="1">
      <alignment horizontal="right"/>
    </xf>
    <xf numFmtId="3" fontId="8" fillId="0" borderId="9" xfId="0" applyNumberFormat="1" applyFont="1" applyFill="1" applyBorder="1" applyAlignment="1">
      <alignment horizontal="right"/>
    </xf>
    <xf numFmtId="2" fontId="7" fillId="0" borderId="10" xfId="0" applyNumberFormat="1" applyFont="1" applyBorder="1"/>
    <xf numFmtId="4" fontId="8" fillId="0" borderId="2" xfId="0" applyNumberFormat="1" applyFont="1" applyFill="1" applyBorder="1" applyAlignment="1">
      <alignment horizontal="right"/>
    </xf>
    <xf numFmtId="3" fontId="29" fillId="0" borderId="2" xfId="0" applyNumberFormat="1" applyFont="1" applyFill="1" applyBorder="1" applyAlignment="1">
      <alignment horizontal="right"/>
    </xf>
    <xf numFmtId="3" fontId="61" fillId="0" borderId="2" xfId="0" applyNumberFormat="1" applyFont="1" applyFill="1" applyBorder="1" applyAlignment="1">
      <alignment horizontal="right"/>
    </xf>
    <xf numFmtId="3" fontId="30" fillId="0" borderId="11" xfId="0" applyNumberFormat="1" applyFont="1" applyFill="1" applyBorder="1" applyAlignment="1">
      <alignment horizontal="right"/>
    </xf>
    <xf numFmtId="3" fontId="11" fillId="0" borderId="2" xfId="0" applyNumberFormat="1" applyFont="1" applyFill="1" applyBorder="1" applyAlignment="1">
      <alignment horizontal="right"/>
    </xf>
    <xf numFmtId="3" fontId="8" fillId="0" borderId="2" xfId="0" applyNumberFormat="1" applyFont="1" applyFill="1" applyBorder="1" applyAlignment="1">
      <alignment horizontal="right"/>
    </xf>
    <xf numFmtId="3" fontId="30" fillId="0" borderId="0" xfId="0" applyNumberFormat="1" applyFont="1" applyFill="1" applyAlignment="1">
      <alignment horizontal="right"/>
    </xf>
    <xf numFmtId="3" fontId="29" fillId="0" borderId="0" xfId="0" applyNumberFormat="1" applyFont="1" applyFill="1" applyAlignment="1">
      <alignment horizontal="right"/>
    </xf>
    <xf numFmtId="0" fontId="59" fillId="0" borderId="0" xfId="0" applyFont="1" applyAlignment="1">
      <alignment horizontal="center"/>
    </xf>
    <xf numFmtId="0" fontId="13" fillId="0" borderId="0" xfId="0" applyFont="1" applyFill="1" applyAlignment="1">
      <alignment horizontal="left"/>
    </xf>
    <xf numFmtId="3" fontId="14" fillId="0" borderId="0" xfId="0" applyNumberFormat="1" applyFont="1" applyFill="1" applyBorder="1"/>
    <xf numFmtId="0" fontId="62" fillId="0" borderId="0" xfId="0" applyFont="1"/>
    <xf numFmtId="1" fontId="7" fillId="0" borderId="0" xfId="0" applyNumberFormat="1" applyFont="1" applyAlignment="1">
      <alignment horizontal="center"/>
    </xf>
    <xf numFmtId="3" fontId="8" fillId="11" borderId="0" xfId="0" applyNumberFormat="1" applyFont="1" applyFill="1" applyAlignment="1">
      <alignment horizontal="center"/>
    </xf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3" fontId="9" fillId="4" borderId="2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3" fontId="8" fillId="3" borderId="0" xfId="0" applyNumberFormat="1" applyFont="1" applyFill="1" applyAlignment="1">
      <alignment horizontal="center"/>
    </xf>
    <xf numFmtId="3" fontId="7" fillId="0" borderId="12" xfId="0" applyNumberFormat="1" applyFont="1" applyBorder="1" applyAlignment="1">
      <alignment horizontal="center"/>
    </xf>
    <xf numFmtId="3" fontId="7" fillId="3" borderId="12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7" fillId="3" borderId="0" xfId="0" applyNumberFormat="1" applyFont="1" applyFill="1" applyAlignment="1">
      <alignment horizontal="center"/>
    </xf>
    <xf numFmtId="0" fontId="13" fillId="0" borderId="0" xfId="0" applyFont="1" applyAlignment="1">
      <alignment horizontal="right"/>
    </xf>
    <xf numFmtId="9" fontId="7" fillId="0" borderId="0" xfId="6" applyFont="1" applyAlignment="1">
      <alignment horizontal="center"/>
    </xf>
    <xf numFmtId="0" fontId="7" fillId="12" borderId="0" xfId="0" applyFont="1" applyFill="1" applyAlignment="1">
      <alignment horizontal="center"/>
    </xf>
    <xf numFmtId="2" fontId="8" fillId="0" borderId="1" xfId="0" applyNumberFormat="1" applyFont="1" applyBorder="1" applyAlignment="1">
      <alignment horizontal="center"/>
    </xf>
    <xf numFmtId="46" fontId="8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right"/>
    </xf>
    <xf numFmtId="0" fontId="7" fillId="13" borderId="0" xfId="0" applyFont="1" applyFill="1"/>
    <xf numFmtId="0" fontId="7" fillId="13" borderId="0" xfId="0" applyFont="1" applyFill="1" applyAlignment="1">
      <alignment horizontal="right"/>
    </xf>
    <xf numFmtId="44" fontId="7" fillId="0" borderId="0" xfId="0" applyNumberFormat="1" applyFont="1"/>
    <xf numFmtId="4" fontId="7" fillId="0" borderId="0" xfId="0" applyNumberFormat="1" applyFont="1" applyAlignment="1">
      <alignment horizontal="right"/>
    </xf>
    <xf numFmtId="44" fontId="20" fillId="0" borderId="0" xfId="0" applyNumberFormat="1" applyFont="1"/>
    <xf numFmtId="3" fontId="8" fillId="0" borderId="0" xfId="0" applyNumberFormat="1" applyFont="1" applyAlignment="1">
      <alignment horizontal="right"/>
    </xf>
    <xf numFmtId="3" fontId="8" fillId="14" borderId="2" xfId="0" applyNumberFormat="1" applyFont="1" applyFill="1" applyBorder="1" applyAlignment="1">
      <alignment horizontal="right"/>
    </xf>
    <xf numFmtId="3" fontId="8" fillId="15" borderId="2" xfId="0" applyNumberFormat="1" applyFont="1" applyFill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33" fillId="0" borderId="1" xfId="0" applyNumberFormat="1" applyFont="1" applyBorder="1" applyAlignment="1">
      <alignment horizontal="center"/>
    </xf>
    <xf numFmtId="0" fontId="7" fillId="0" borderId="14" xfId="0" applyFont="1" applyBorder="1" applyAlignment="1">
      <alignment horizontal="right"/>
    </xf>
    <xf numFmtId="3" fontId="35" fillId="0" borderId="15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7" fillId="0" borderId="16" xfId="0" applyFont="1" applyBorder="1" applyAlignment="1">
      <alignment horizontal="right"/>
    </xf>
    <xf numFmtId="3" fontId="35" fillId="0" borderId="17" xfId="0" applyNumberFormat="1" applyFont="1" applyBorder="1" applyAlignment="1">
      <alignment horizontal="center"/>
    </xf>
    <xf numFmtId="0" fontId="36" fillId="0" borderId="0" xfId="0" applyFont="1" applyFill="1" applyBorder="1" applyAlignment="1">
      <alignment horizontal="left"/>
    </xf>
    <xf numFmtId="0" fontId="20" fillId="0" borderId="18" xfId="0" applyFont="1" applyBorder="1" applyAlignment="1">
      <alignment horizontal="center"/>
    </xf>
    <xf numFmtId="3" fontId="33" fillId="0" borderId="2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3" fontId="9" fillId="0" borderId="2" xfId="0" applyNumberFormat="1" applyFont="1" applyBorder="1" applyAlignment="1">
      <alignment horizontal="right"/>
    </xf>
    <xf numFmtId="10" fontId="7" fillId="0" borderId="0" xfId="0" applyNumberFormat="1" applyFont="1"/>
    <xf numFmtId="3" fontId="33" fillId="0" borderId="2" xfId="0" applyNumberFormat="1" applyFont="1" applyBorder="1" applyAlignment="1">
      <alignment horizontal="right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right"/>
    </xf>
    <xf numFmtId="0" fontId="59" fillId="0" borderId="0" xfId="0" applyFont="1"/>
    <xf numFmtId="0" fontId="10" fillId="2" borderId="0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3" fontId="8" fillId="0" borderId="1" xfId="0" applyNumberFormat="1" applyFont="1" applyBorder="1" applyAlignment="1">
      <alignment horizontal="right"/>
    </xf>
    <xf numFmtId="3" fontId="9" fillId="11" borderId="2" xfId="0" applyNumberFormat="1" applyFont="1" applyFill="1" applyBorder="1" applyAlignment="1">
      <alignment horizontal="right"/>
    </xf>
    <xf numFmtId="44" fontId="7" fillId="2" borderId="0" xfId="2" applyFont="1" applyFill="1" applyBorder="1" applyAlignment="1">
      <alignment horizontal="center"/>
    </xf>
    <xf numFmtId="3" fontId="8" fillId="0" borderId="0" xfId="0" applyNumberFormat="1" applyFont="1" applyBorder="1" applyAlignment="1">
      <alignment horizontal="center" vertical="center"/>
    </xf>
    <xf numFmtId="3" fontId="7" fillId="0" borderId="0" xfId="0" applyNumberFormat="1" applyFont="1" applyBorder="1" applyAlignment="1">
      <alignment horizontal="right"/>
    </xf>
    <xf numFmtId="3" fontId="9" fillId="0" borderId="3" xfId="0" applyNumberFormat="1" applyFont="1" applyBorder="1" applyAlignment="1">
      <alignment horizontal="center"/>
    </xf>
    <xf numFmtId="0" fontId="63" fillId="0" borderId="0" xfId="0" applyFont="1" applyFill="1"/>
    <xf numFmtId="0" fontId="8" fillId="0" borderId="0" xfId="0" applyFont="1" applyAlignment="1">
      <alignment horizontal="center" vertical="center" wrapText="1"/>
    </xf>
    <xf numFmtId="4" fontId="55" fillId="0" borderId="0" xfId="0" applyNumberFormat="1" applyFont="1" applyAlignment="1">
      <alignment horizontal="center"/>
    </xf>
    <xf numFmtId="0" fontId="8" fillId="0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center" wrapText="1"/>
    </xf>
    <xf numFmtId="0" fontId="8" fillId="0" borderId="1" xfId="0" applyFont="1" applyFill="1" applyBorder="1"/>
    <xf numFmtId="4" fontId="7" fillId="13" borderId="1" xfId="0" applyNumberFormat="1" applyFont="1" applyFill="1" applyBorder="1"/>
    <xf numFmtId="0" fontId="7" fillId="0" borderId="1" xfId="0" applyFont="1" applyFill="1" applyBorder="1"/>
    <xf numFmtId="4" fontId="8" fillId="13" borderId="1" xfId="0" applyNumberFormat="1" applyFont="1" applyFill="1" applyBorder="1"/>
    <xf numFmtId="0" fontId="64" fillId="0" borderId="0" xfId="0" applyFont="1"/>
    <xf numFmtId="0" fontId="7" fillId="0" borderId="0" xfId="0" applyFont="1" applyBorder="1" applyAlignment="1">
      <alignment horizontal="center"/>
    </xf>
    <xf numFmtId="0" fontId="12" fillId="0" borderId="0" xfId="0" applyFont="1" applyAlignment="1">
      <alignment horizontal="right"/>
    </xf>
    <xf numFmtId="3" fontId="7" fillId="0" borderId="0" xfId="0" applyNumberFormat="1" applyFont="1" applyBorder="1"/>
    <xf numFmtId="3" fontId="65" fillId="0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4" fontId="8" fillId="12" borderId="1" xfId="0" applyNumberFormat="1" applyFont="1" applyFill="1" applyBorder="1"/>
    <xf numFmtId="4" fontId="56" fillId="0" borderId="0" xfId="0" applyNumberFormat="1" applyFont="1" applyFill="1" applyBorder="1" applyAlignment="1">
      <alignment horizontal="right"/>
    </xf>
    <xf numFmtId="169" fontId="7" fillId="0" borderId="0" xfId="0" applyNumberFormat="1" applyFont="1"/>
    <xf numFmtId="44" fontId="8" fillId="13" borderId="0" xfId="2" applyFont="1" applyFill="1" applyAlignment="1">
      <alignment horizontal="right"/>
    </xf>
    <xf numFmtId="44" fontId="8" fillId="0" borderId="0" xfId="0" applyNumberFormat="1" applyFont="1"/>
    <xf numFmtId="3" fontId="7" fillId="0" borderId="0" xfId="0" applyNumberFormat="1" applyFont="1" applyFill="1" applyAlignment="1"/>
    <xf numFmtId="0" fontId="7" fillId="18" borderId="0" xfId="0" applyFont="1" applyFill="1" applyAlignment="1">
      <alignment horizontal="right"/>
    </xf>
    <xf numFmtId="3" fontId="8" fillId="0" borderId="1" xfId="0" applyNumberFormat="1" applyFont="1" applyBorder="1"/>
    <xf numFmtId="0" fontId="37" fillId="0" borderId="0" xfId="0" applyFont="1"/>
    <xf numFmtId="0" fontId="9" fillId="0" borderId="1" xfId="0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center" wrapText="1"/>
    </xf>
    <xf numFmtId="4" fontId="10" fillId="0" borderId="1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38" fillId="0" borderId="2" xfId="0" applyNumberFormat="1" applyFont="1" applyFill="1" applyBorder="1" applyAlignment="1">
      <alignment horizontal="right"/>
    </xf>
    <xf numFmtId="4" fontId="10" fillId="0" borderId="2" xfId="0" applyNumberFormat="1" applyFont="1" applyFill="1" applyBorder="1" applyAlignment="1">
      <alignment horizontal="right"/>
    </xf>
    <xf numFmtId="3" fontId="66" fillId="0" borderId="2" xfId="0" applyNumberFormat="1" applyFont="1" applyFill="1" applyBorder="1" applyAlignment="1">
      <alignment horizontal="right"/>
    </xf>
    <xf numFmtId="3" fontId="33" fillId="0" borderId="11" xfId="0" applyNumberFormat="1" applyFont="1" applyFill="1" applyBorder="1" applyAlignment="1">
      <alignment horizontal="right"/>
    </xf>
    <xf numFmtId="3" fontId="31" fillId="0" borderId="2" xfId="0" applyNumberFormat="1" applyFont="1" applyFill="1" applyBorder="1" applyAlignment="1">
      <alignment horizontal="right"/>
    </xf>
    <xf numFmtId="3" fontId="9" fillId="19" borderId="2" xfId="0" applyNumberFormat="1" applyFont="1" applyFill="1" applyBorder="1" applyAlignment="1">
      <alignment horizontal="right"/>
    </xf>
    <xf numFmtId="3" fontId="9" fillId="20" borderId="2" xfId="0" applyNumberFormat="1" applyFont="1" applyFill="1" applyBorder="1" applyAlignment="1">
      <alignment horizontal="right"/>
    </xf>
    <xf numFmtId="3" fontId="9" fillId="14" borderId="2" xfId="0" applyNumberFormat="1" applyFont="1" applyFill="1" applyBorder="1" applyAlignment="1">
      <alignment horizontal="right"/>
    </xf>
    <xf numFmtId="3" fontId="62" fillId="0" borderId="0" xfId="0" applyNumberFormat="1" applyFont="1" applyBorder="1" applyAlignment="1">
      <alignment horizontal="right"/>
    </xf>
    <xf numFmtId="3" fontId="7" fillId="0" borderId="13" xfId="0" applyNumberFormat="1" applyFont="1" applyFill="1" applyBorder="1" applyAlignment="1"/>
    <xf numFmtId="3" fontId="56" fillId="0" borderId="0" xfId="0" applyNumberFormat="1" applyFont="1"/>
    <xf numFmtId="0" fontId="8" fillId="0" borderId="3" xfId="0" applyFont="1" applyFill="1" applyBorder="1" applyAlignment="1">
      <alignment horizontal="center" wrapText="1"/>
    </xf>
    <xf numFmtId="0" fontId="8" fillId="0" borderId="19" xfId="0" applyFont="1" applyFill="1" applyBorder="1" applyAlignment="1">
      <alignment horizontal="center" wrapText="1"/>
    </xf>
    <xf numFmtId="3" fontId="7" fillId="0" borderId="3" xfId="0" applyNumberFormat="1" applyFont="1" applyBorder="1" applyAlignment="1">
      <alignment horizontal="right"/>
    </xf>
    <xf numFmtId="3" fontId="7" fillId="0" borderId="1" xfId="0" applyNumberFormat="1" applyFont="1" applyFill="1" applyBorder="1"/>
    <xf numFmtId="3" fontId="8" fillId="0" borderId="19" xfId="0" applyNumberFormat="1" applyFont="1" applyBorder="1" applyAlignment="1">
      <alignment horizontal="right"/>
    </xf>
    <xf numFmtId="0" fontId="68" fillId="0" borderId="0" xfId="0" applyFont="1" applyFill="1"/>
    <xf numFmtId="3" fontId="7" fillId="0" borderId="13" xfId="0" applyNumberFormat="1" applyFont="1" applyFill="1" applyBorder="1"/>
    <xf numFmtId="3" fontId="8" fillId="21" borderId="2" xfId="0" applyNumberFormat="1" applyFont="1" applyFill="1" applyBorder="1" applyAlignment="1">
      <alignment horizontal="right"/>
    </xf>
    <xf numFmtId="3" fontId="7" fillId="16" borderId="0" xfId="0" applyNumberFormat="1" applyFont="1" applyFill="1" applyAlignment="1">
      <alignment horizontal="right"/>
    </xf>
    <xf numFmtId="3" fontId="8" fillId="16" borderId="2" xfId="0" applyNumberFormat="1" applyFont="1" applyFill="1" applyBorder="1" applyAlignment="1">
      <alignment horizontal="right"/>
    </xf>
    <xf numFmtId="3" fontId="7" fillId="0" borderId="0" xfId="2" applyNumberFormat="1" applyFont="1"/>
    <xf numFmtId="3" fontId="8" fillId="0" borderId="1" xfId="2" applyNumberFormat="1" applyFont="1" applyBorder="1"/>
    <xf numFmtId="3" fontId="8" fillId="0" borderId="3" xfId="2" applyNumberFormat="1" applyFont="1" applyBorder="1"/>
    <xf numFmtId="3" fontId="7" fillId="0" borderId="1" xfId="0" applyNumberFormat="1" applyFont="1" applyBorder="1"/>
    <xf numFmtId="0" fontId="20" fillId="0" borderId="0" xfId="0" applyFont="1" applyAlignment="1">
      <alignment horizontal="center" vertical="center"/>
    </xf>
    <xf numFmtId="3" fontId="8" fillId="0" borderId="0" xfId="0" applyNumberFormat="1" applyFont="1" applyBorder="1" applyAlignment="1">
      <alignment horizontal="center" vertical="center" wrapText="1"/>
    </xf>
    <xf numFmtId="44" fontId="7" fillId="0" borderId="0" xfId="2" applyFont="1" applyFill="1"/>
    <xf numFmtId="3" fontId="9" fillId="22" borderId="2" xfId="0" applyNumberFormat="1" applyFont="1" applyFill="1" applyBorder="1" applyAlignment="1">
      <alignment horizontal="right"/>
    </xf>
    <xf numFmtId="4" fontId="8" fillId="0" borderId="0" xfId="0" applyNumberFormat="1" applyFont="1" applyAlignment="1">
      <alignment horizontal="right"/>
    </xf>
    <xf numFmtId="4" fontId="8" fillId="12" borderId="0" xfId="0" applyNumberFormat="1" applyFont="1" applyFill="1" applyAlignment="1">
      <alignment horizontal="right"/>
    </xf>
    <xf numFmtId="3" fontId="57" fillId="0" borderId="0" xfId="0" applyNumberFormat="1" applyFont="1"/>
    <xf numFmtId="3" fontId="37" fillId="9" borderId="0" xfId="0" applyNumberFormat="1" applyFont="1" applyFill="1" applyAlignment="1">
      <alignment horizontal="center"/>
    </xf>
    <xf numFmtId="4" fontId="9" fillId="16" borderId="2" xfId="0" applyNumberFormat="1" applyFont="1" applyFill="1" applyBorder="1"/>
    <xf numFmtId="4" fontId="8" fillId="0" borderId="12" xfId="0" applyNumberFormat="1" applyFont="1" applyBorder="1" applyAlignment="1">
      <alignment horizontal="right"/>
    </xf>
    <xf numFmtId="4" fontId="8" fillId="0" borderId="21" xfId="0" applyNumberFormat="1" applyFont="1" applyBorder="1" applyAlignment="1">
      <alignment horizontal="right"/>
    </xf>
    <xf numFmtId="4" fontId="8" fillId="0" borderId="3" xfId="0" applyNumberFormat="1" applyFont="1" applyBorder="1" applyAlignment="1">
      <alignment horizontal="right"/>
    </xf>
    <xf numFmtId="4" fontId="8" fillId="0" borderId="20" xfId="0" applyNumberFormat="1" applyFont="1" applyBorder="1" applyAlignment="1">
      <alignment horizontal="right"/>
    </xf>
    <xf numFmtId="0" fontId="25" fillId="0" borderId="0" xfId="0" applyFont="1" applyAlignment="1">
      <alignment horizontal="center" wrapText="1"/>
    </xf>
    <xf numFmtId="4" fontId="21" fillId="23" borderId="2" xfId="0" applyNumberFormat="1" applyFont="1" applyFill="1" applyBorder="1" applyAlignment="1">
      <alignment horizontal="right"/>
    </xf>
    <xf numFmtId="4" fontId="7" fillId="0" borderId="12" xfId="0" applyNumberFormat="1" applyFont="1" applyBorder="1" applyAlignment="1">
      <alignment horizontal="right"/>
    </xf>
    <xf numFmtId="4" fontId="8" fillId="0" borderId="13" xfId="0" applyNumberFormat="1" applyFont="1" applyBorder="1" applyAlignment="1">
      <alignment horizontal="right"/>
    </xf>
    <xf numFmtId="4" fontId="21" fillId="0" borderId="22" xfId="0" applyNumberFormat="1" applyFont="1" applyBorder="1" applyAlignment="1">
      <alignment horizontal="right"/>
    </xf>
    <xf numFmtId="4" fontId="21" fillId="0" borderId="23" xfId="0" applyNumberFormat="1" applyFont="1" applyBorder="1" applyAlignment="1">
      <alignment horizontal="right"/>
    </xf>
    <xf numFmtId="4" fontId="7" fillId="0" borderId="24" xfId="0" applyNumberFormat="1" applyFont="1" applyBorder="1" applyAlignment="1">
      <alignment horizontal="right"/>
    </xf>
    <xf numFmtId="4" fontId="7" fillId="0" borderId="15" xfId="0" applyNumberFormat="1" applyFont="1" applyBorder="1" applyAlignment="1">
      <alignment horizontal="right"/>
    </xf>
    <xf numFmtId="4" fontId="7" fillId="0" borderId="21" xfId="0" applyNumberFormat="1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25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0" fontId="69" fillId="0" borderId="13" xfId="0" applyFont="1" applyBorder="1" applyAlignment="1">
      <alignment horizontal="right"/>
    </xf>
    <xf numFmtId="0" fontId="69" fillId="0" borderId="25" xfId="0" applyFont="1" applyBorder="1" applyAlignment="1">
      <alignment horizontal="right"/>
    </xf>
    <xf numFmtId="4" fontId="21" fillId="24" borderId="2" xfId="0" applyNumberFormat="1" applyFont="1" applyFill="1" applyBorder="1" applyAlignment="1">
      <alignment horizontal="right"/>
    </xf>
    <xf numFmtId="4" fontId="9" fillId="0" borderId="2" xfId="0" applyNumberFormat="1" applyFont="1" applyFill="1" applyBorder="1" applyAlignment="1">
      <alignment horizontal="right"/>
    </xf>
    <xf numFmtId="44" fontId="70" fillId="0" borderId="0" xfId="0" applyNumberFormat="1" applyFont="1"/>
    <xf numFmtId="0" fontId="59" fillId="0" borderId="0" xfId="0" applyFont="1" applyAlignment="1">
      <alignment horizontal="left"/>
    </xf>
    <xf numFmtId="3" fontId="7" fillId="0" borderId="19" xfId="0" applyNumberFormat="1" applyFont="1" applyBorder="1"/>
    <xf numFmtId="44" fontId="7" fillId="2" borderId="0" xfId="2" applyFont="1" applyFill="1" applyBorder="1" applyAlignment="1"/>
    <xf numFmtId="0" fontId="7" fillId="0" borderId="0" xfId="0" applyFont="1" applyAlignment="1">
      <alignment horizontal="center" vertical="center"/>
    </xf>
    <xf numFmtId="3" fontId="21" fillId="0" borderId="2" xfId="0" applyNumberFormat="1" applyFont="1" applyBorder="1"/>
    <xf numFmtId="3" fontId="7" fillId="0" borderId="14" xfId="0" applyNumberFormat="1" applyFont="1" applyBorder="1" applyAlignment="1">
      <alignment horizontal="center"/>
    </xf>
    <xf numFmtId="3" fontId="7" fillId="0" borderId="24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3" fontId="7" fillId="0" borderId="18" xfId="0" applyNumberFormat="1" applyFont="1" applyBorder="1" applyAlignment="1">
      <alignment horizontal="center"/>
    </xf>
    <xf numFmtId="10" fontId="7" fillId="0" borderId="0" xfId="6" applyNumberFormat="1" applyFont="1" applyBorder="1" applyAlignment="1">
      <alignment horizontal="center"/>
    </xf>
    <xf numFmtId="10" fontId="7" fillId="0" borderId="18" xfId="6" applyNumberFormat="1" applyFont="1" applyBorder="1" applyAlignment="1">
      <alignment horizontal="center"/>
    </xf>
    <xf numFmtId="10" fontId="7" fillId="0" borderId="12" xfId="6" applyNumberFormat="1" applyFont="1" applyBorder="1" applyAlignment="1">
      <alignment horizontal="center"/>
    </xf>
    <xf numFmtId="3" fontId="8" fillId="20" borderId="2" xfId="0" applyNumberFormat="1" applyFont="1" applyFill="1" applyBorder="1" applyAlignment="1">
      <alignment horizontal="right"/>
    </xf>
    <xf numFmtId="0" fontId="21" fillId="0" borderId="12" xfId="0" applyFont="1" applyBorder="1" applyAlignment="1"/>
    <xf numFmtId="3" fontId="7" fillId="0" borderId="14" xfId="0" applyNumberFormat="1" applyFont="1" applyBorder="1" applyAlignment="1">
      <alignment horizontal="right"/>
    </xf>
    <xf numFmtId="3" fontId="7" fillId="0" borderId="24" xfId="0" applyNumberFormat="1" applyFont="1" applyBorder="1" applyAlignment="1">
      <alignment horizontal="right"/>
    </xf>
    <xf numFmtId="3" fontId="7" fillId="0" borderId="16" xfId="0" applyNumberFormat="1" applyFont="1" applyBorder="1" applyAlignment="1">
      <alignment horizontal="right"/>
    </xf>
    <xf numFmtId="3" fontId="7" fillId="0" borderId="18" xfId="0" applyNumberFormat="1" applyFont="1" applyBorder="1" applyAlignment="1">
      <alignment horizontal="right"/>
    </xf>
    <xf numFmtId="3" fontId="7" fillId="0" borderId="12" xfId="0" applyNumberFormat="1" applyFont="1" applyBorder="1" applyAlignment="1">
      <alignment horizontal="right"/>
    </xf>
    <xf numFmtId="3" fontId="21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right" wrapText="1"/>
    </xf>
    <xf numFmtId="0" fontId="7" fillId="0" borderId="20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21" xfId="0" applyFont="1" applyBorder="1" applyAlignment="1">
      <alignment horizontal="right"/>
    </xf>
    <xf numFmtId="0" fontId="71" fillId="0" borderId="0" xfId="0" applyFont="1" applyFill="1" applyBorder="1"/>
    <xf numFmtId="0" fontId="68" fillId="0" borderId="0" xfId="0" applyFont="1" applyFill="1" applyBorder="1"/>
    <xf numFmtId="0" fontId="67" fillId="0" borderId="0" xfId="0" applyFont="1" applyFill="1" applyBorder="1"/>
    <xf numFmtId="4" fontId="67" fillId="0" borderId="0" xfId="0" applyNumberFormat="1" applyFont="1" applyFill="1" applyBorder="1" applyAlignment="1">
      <alignment horizontal="right"/>
    </xf>
    <xf numFmtId="4" fontId="72" fillId="0" borderId="0" xfId="0" applyNumberFormat="1" applyFont="1" applyFill="1" applyBorder="1" applyAlignment="1">
      <alignment horizontal="right"/>
    </xf>
    <xf numFmtId="0" fontId="68" fillId="0" borderId="0" xfId="0" applyFont="1" applyFill="1" applyBorder="1" applyAlignment="1">
      <alignment horizontal="center"/>
    </xf>
    <xf numFmtId="4" fontId="63" fillId="0" borderId="0" xfId="0" applyNumberFormat="1" applyFont="1" applyFill="1" applyBorder="1"/>
    <xf numFmtId="0" fontId="0" fillId="0" borderId="0" xfId="0" applyAlignment="1">
      <alignment horizontal="center"/>
    </xf>
    <xf numFmtId="168" fontId="7" fillId="0" borderId="0" xfId="6" applyNumberFormat="1" applyFont="1"/>
    <xf numFmtId="9" fontId="20" fillId="0" borderId="0" xfId="6" applyFont="1"/>
    <xf numFmtId="3" fontId="0" fillId="0" borderId="0" xfId="0" applyNumberFormat="1"/>
    <xf numFmtId="0" fontId="20" fillId="0" borderId="0" xfId="0" applyFont="1" applyAlignment="1">
      <alignment horizontal="right"/>
    </xf>
    <xf numFmtId="165" fontId="8" fillId="0" borderId="20" xfId="0" applyNumberFormat="1" applyFont="1" applyBorder="1" applyAlignment="1">
      <alignment horizontal="right"/>
    </xf>
    <xf numFmtId="0" fontId="8" fillId="0" borderId="0" xfId="0" applyFont="1" applyBorder="1" applyAlignment="1">
      <alignment horizontal="center" vertical="center" wrapText="1"/>
    </xf>
    <xf numFmtId="4" fontId="21" fillId="24" borderId="11" xfId="0" applyNumberFormat="1" applyFont="1" applyFill="1" applyBorder="1" applyAlignment="1">
      <alignment horizontal="right"/>
    </xf>
    <xf numFmtId="4" fontId="21" fillId="0" borderId="13" xfId="0" applyNumberFormat="1" applyFont="1" applyFill="1" applyBorder="1" applyAlignment="1">
      <alignment horizontal="right"/>
    </xf>
    <xf numFmtId="10" fontId="23" fillId="0" borderId="20" xfId="6" applyNumberFormat="1" applyFont="1" applyBorder="1" applyAlignment="1">
      <alignment horizontal="right"/>
    </xf>
    <xf numFmtId="9" fontId="8" fillId="0" borderId="1" xfId="6" applyFont="1" applyBorder="1" applyAlignment="1">
      <alignment horizontal="right"/>
    </xf>
    <xf numFmtId="3" fontId="73" fillId="0" borderId="0" xfId="0" applyNumberFormat="1" applyFont="1"/>
    <xf numFmtId="4" fontId="7" fillId="12" borderId="0" xfId="0" applyNumberFormat="1" applyFont="1" applyFill="1" applyBorder="1"/>
    <xf numFmtId="3" fontId="68" fillId="0" borderId="0" xfId="0" applyNumberFormat="1" applyFont="1" applyFill="1" applyAlignment="1">
      <alignment horizontal="center"/>
    </xf>
    <xf numFmtId="0" fontId="75" fillId="0" borderId="0" xfId="0" applyFont="1"/>
    <xf numFmtId="9" fontId="7" fillId="0" borderId="0" xfId="6" applyFont="1" applyFill="1" applyBorder="1"/>
    <xf numFmtId="172" fontId="7" fillId="0" borderId="0" xfId="0" applyNumberFormat="1" applyFont="1" applyFill="1" applyBorder="1"/>
    <xf numFmtId="172" fontId="8" fillId="0" borderId="0" xfId="0" applyNumberFormat="1" applyFont="1" applyFill="1" applyBorder="1"/>
    <xf numFmtId="3" fontId="8" fillId="0" borderId="0" xfId="2" applyNumberFormat="1" applyFont="1" applyBorder="1"/>
    <xf numFmtId="0" fontId="59" fillId="0" borderId="0" xfId="0" applyFont="1" applyFill="1"/>
    <xf numFmtId="3" fontId="39" fillId="0" borderId="2" xfId="0" applyNumberFormat="1" applyFont="1" applyFill="1" applyBorder="1" applyAlignment="1">
      <alignment horizontal="right"/>
    </xf>
    <xf numFmtId="3" fontId="7" fillId="0" borderId="0" xfId="2" applyNumberFormat="1" applyFont="1" applyFill="1"/>
    <xf numFmtId="0" fontId="12" fillId="0" borderId="1" xfId="0" applyFont="1" applyFill="1" applyBorder="1" applyAlignment="1">
      <alignment horizontal="center"/>
    </xf>
    <xf numFmtId="3" fontId="8" fillId="0" borderId="0" xfId="2" applyNumberFormat="1" applyFont="1"/>
    <xf numFmtId="3" fontId="7" fillId="0" borderId="1" xfId="2" applyNumberFormat="1" applyFont="1" applyBorder="1"/>
    <xf numFmtId="3" fontId="7" fillId="0" borderId="13" xfId="2" applyNumberFormat="1" applyFont="1" applyBorder="1"/>
    <xf numFmtId="3" fontId="7" fillId="0" borderId="25" xfId="2" applyNumberFormat="1" applyFont="1" applyBorder="1"/>
    <xf numFmtId="0" fontId="8" fillId="16" borderId="0" xfId="0" applyFont="1" applyFill="1" applyBorder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40" fillId="0" borderId="0" xfId="0" applyFont="1"/>
    <xf numFmtId="0" fontId="41" fillId="0" borderId="0" xfId="0" applyFont="1"/>
    <xf numFmtId="0" fontId="24" fillId="0" borderId="0" xfId="0" applyFont="1" applyFill="1" applyBorder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4" fillId="18" borderId="0" xfId="0" applyFont="1" applyFill="1"/>
    <xf numFmtId="0" fontId="24" fillId="18" borderId="0" xfId="0" applyFont="1" applyFill="1" applyAlignment="1">
      <alignment horizontal="right"/>
    </xf>
    <xf numFmtId="3" fontId="24" fillId="18" borderId="0" xfId="0" applyNumberFormat="1" applyFont="1" applyFill="1"/>
    <xf numFmtId="3" fontId="42" fillId="22" borderId="2" xfId="0" applyNumberFormat="1" applyFont="1" applyFill="1" applyBorder="1" applyAlignment="1">
      <alignment horizontal="right"/>
    </xf>
    <xf numFmtId="4" fontId="76" fillId="0" borderId="0" xfId="0" applyNumberFormat="1" applyFont="1"/>
    <xf numFmtId="3" fontId="8" fillId="12" borderId="0" xfId="0" applyNumberFormat="1" applyFont="1" applyFill="1" applyAlignment="1">
      <alignment horizontal="right"/>
    </xf>
    <xf numFmtId="4" fontId="7" fillId="12" borderId="24" xfId="0" applyNumberFormat="1" applyFont="1" applyFill="1" applyBorder="1" applyAlignment="1">
      <alignment horizontal="right"/>
    </xf>
    <xf numFmtId="0" fontId="7" fillId="12" borderId="0" xfId="0" applyFont="1" applyFill="1"/>
    <xf numFmtId="3" fontId="24" fillId="12" borderId="25" xfId="0" applyNumberFormat="1" applyFont="1" applyFill="1" applyBorder="1" applyAlignment="1"/>
    <xf numFmtId="3" fontId="24" fillId="12" borderId="13" xfId="0" applyNumberFormat="1" applyFont="1" applyFill="1" applyBorder="1" applyAlignment="1"/>
    <xf numFmtId="3" fontId="24" fillId="12" borderId="1" xfId="0" applyNumberFormat="1" applyFont="1" applyFill="1" applyBorder="1" applyAlignment="1"/>
    <xf numFmtId="0" fontId="55" fillId="0" borderId="0" xfId="0" applyFont="1"/>
    <xf numFmtId="0" fontId="24" fillId="16" borderId="0" xfId="0" applyFont="1" applyFill="1"/>
    <xf numFmtId="0" fontId="40" fillId="16" borderId="0" xfId="0" applyFont="1" applyFill="1"/>
    <xf numFmtId="0" fontId="20" fillId="16" borderId="0" xfId="0" applyFont="1" applyFill="1"/>
    <xf numFmtId="3" fontId="8" fillId="0" borderId="0" xfId="0" applyNumberFormat="1" applyFont="1" applyFill="1" applyBorder="1" applyAlignment="1"/>
    <xf numFmtId="3" fontId="24" fillId="0" borderId="0" xfId="0" applyNumberFormat="1" applyFont="1" applyFill="1" applyBorder="1" applyAlignment="1"/>
    <xf numFmtId="3" fontId="8" fillId="25" borderId="2" xfId="0" applyNumberFormat="1" applyFont="1" applyFill="1" applyBorder="1"/>
    <xf numFmtId="3" fontId="8" fillId="26" borderId="2" xfId="0" applyNumberFormat="1" applyFont="1" applyFill="1" applyBorder="1"/>
    <xf numFmtId="4" fontId="69" fillId="0" borderId="0" xfId="0" applyNumberFormat="1" applyFont="1" applyFill="1" applyBorder="1"/>
    <xf numFmtId="4" fontId="69" fillId="16" borderId="1" xfId="0" applyNumberFormat="1" applyFont="1" applyFill="1" applyBorder="1"/>
    <xf numFmtId="0" fontId="43" fillId="0" borderId="0" xfId="0" applyFont="1" applyAlignment="1">
      <alignment horizontal="center"/>
    </xf>
    <xf numFmtId="0" fontId="44" fillId="0" borderId="0" xfId="0" applyFont="1"/>
    <xf numFmtId="4" fontId="77" fillId="0" borderId="0" xfId="0" applyNumberFormat="1" applyFont="1"/>
    <xf numFmtId="4" fontId="78" fillId="0" borderId="0" xfId="0" applyNumberFormat="1" applyFont="1"/>
    <xf numFmtId="2" fontId="7" fillId="0" borderId="27" xfId="0" applyNumberFormat="1" applyFont="1" applyBorder="1"/>
    <xf numFmtId="0" fontId="8" fillId="9" borderId="23" xfId="0" applyFont="1" applyFill="1" applyBorder="1" applyAlignment="1">
      <alignment horizontal="center" wrapText="1"/>
    </xf>
    <xf numFmtId="0" fontId="8" fillId="16" borderId="23" xfId="0" applyFont="1" applyFill="1" applyBorder="1" applyAlignment="1">
      <alignment horizontal="center" vertical="center"/>
    </xf>
    <xf numFmtId="0" fontId="8" fillId="16" borderId="28" xfId="0" applyFont="1" applyFill="1" applyBorder="1" applyAlignment="1">
      <alignment horizontal="center" vertical="center" wrapText="1"/>
    </xf>
    <xf numFmtId="4" fontId="7" fillId="0" borderId="1" xfId="0" applyNumberFormat="1" applyFont="1" applyBorder="1"/>
    <xf numFmtId="10" fontId="78" fillId="0" borderId="0" xfId="0" applyNumberFormat="1" applyFont="1"/>
    <xf numFmtId="0" fontId="8" fillId="0" borderId="29" xfId="0" applyFont="1" applyFill="1" applyBorder="1"/>
    <xf numFmtId="4" fontId="7" fillId="0" borderId="30" xfId="0" applyNumberFormat="1" applyFont="1" applyBorder="1"/>
    <xf numFmtId="10" fontId="7" fillId="0" borderId="31" xfId="0" applyNumberFormat="1" applyFont="1" applyBorder="1"/>
    <xf numFmtId="0" fontId="8" fillId="0" borderId="32" xfId="0" applyFont="1" applyFill="1" applyBorder="1"/>
    <xf numFmtId="10" fontId="7" fillId="0" borderId="33" xfId="0" applyNumberFormat="1" applyFont="1" applyBorder="1"/>
    <xf numFmtId="0" fontId="8" fillId="0" borderId="34" xfId="0" applyFont="1" applyFill="1" applyBorder="1"/>
    <xf numFmtId="4" fontId="7" fillId="0" borderId="35" xfId="0" applyNumberFormat="1" applyFont="1" applyBorder="1"/>
    <xf numFmtId="10" fontId="7" fillId="0" borderId="36" xfId="0" applyNumberFormat="1" applyFont="1" applyBorder="1"/>
    <xf numFmtId="0" fontId="45" fillId="0" borderId="22" xfId="0" applyFont="1" applyFill="1" applyBorder="1" applyAlignment="1">
      <alignment horizontal="center" vertical="center"/>
    </xf>
    <xf numFmtId="4" fontId="7" fillId="27" borderId="30" xfId="0" applyNumberFormat="1" applyFont="1" applyFill="1" applyBorder="1"/>
    <xf numFmtId="4" fontId="7" fillId="27" borderId="1" xfId="0" applyNumberFormat="1" applyFont="1" applyFill="1" applyBorder="1"/>
    <xf numFmtId="4" fontId="7" fillId="27" borderId="35" xfId="0" applyNumberFormat="1" applyFont="1" applyFill="1" applyBorder="1"/>
    <xf numFmtId="1" fontId="8" fillId="16" borderId="1" xfId="0" applyNumberFormat="1" applyFont="1" applyFill="1" applyBorder="1" applyAlignment="1">
      <alignment horizontal="center" vertical="center" wrapText="1"/>
    </xf>
    <xf numFmtId="4" fontId="7" fillId="12" borderId="16" xfId="0" applyNumberFormat="1" applyFont="1" applyFill="1" applyBorder="1"/>
    <xf numFmtId="3" fontId="7" fillId="0" borderId="1" xfId="0" applyNumberFormat="1" applyFont="1" applyBorder="1" applyAlignment="1">
      <alignment horizontal="center"/>
    </xf>
    <xf numFmtId="0" fontId="24" fillId="16" borderId="0" xfId="0" applyFont="1" applyFill="1" applyAlignment="1">
      <alignment horizontal="right"/>
    </xf>
    <xf numFmtId="0" fontId="18" fillId="16" borderId="0" xfId="0" applyFont="1" applyFill="1" applyAlignment="1">
      <alignment horizontal="right"/>
    </xf>
    <xf numFmtId="0" fontId="8" fillId="16" borderId="0" xfId="0" applyFont="1" applyFill="1"/>
    <xf numFmtId="3" fontId="7" fillId="12" borderId="32" xfId="0" applyNumberFormat="1" applyFont="1" applyFill="1" applyBorder="1" applyAlignment="1">
      <alignment horizontal="center"/>
    </xf>
    <xf numFmtId="3" fontId="12" fillId="17" borderId="1" xfId="0" applyNumberFormat="1" applyFont="1" applyFill="1" applyBorder="1" applyAlignment="1">
      <alignment horizontal="center" wrapText="1"/>
    </xf>
    <xf numFmtId="3" fontId="12" fillId="27" borderId="1" xfId="0" applyNumberFormat="1" applyFont="1" applyFill="1" applyBorder="1" applyAlignment="1">
      <alignment horizontal="center" wrapText="1"/>
    </xf>
    <xf numFmtId="3" fontId="12" fillId="27" borderId="3" xfId="0" applyNumberFormat="1" applyFont="1" applyFill="1" applyBorder="1" applyAlignment="1">
      <alignment horizontal="center" wrapText="1"/>
    </xf>
    <xf numFmtId="0" fontId="8" fillId="12" borderId="1" xfId="0" applyFont="1" applyFill="1" applyBorder="1" applyAlignment="1">
      <alignment horizontal="right"/>
    </xf>
    <xf numFmtId="3" fontId="8" fillId="12" borderId="1" xfId="2" applyNumberFormat="1" applyFont="1" applyFill="1" applyBorder="1"/>
    <xf numFmtId="3" fontId="8" fillId="12" borderId="3" xfId="2" applyNumberFormat="1" applyFont="1" applyFill="1" applyBorder="1"/>
    <xf numFmtId="3" fontId="8" fillId="12" borderId="2" xfId="2" applyNumberFormat="1" applyFont="1" applyFill="1" applyBorder="1"/>
    <xf numFmtId="3" fontId="8" fillId="16" borderId="2" xfId="2" applyNumberFormat="1" applyFont="1" applyFill="1" applyBorder="1"/>
    <xf numFmtId="0" fontId="12" fillId="17" borderId="1" xfId="0" applyFont="1" applyFill="1" applyBorder="1" applyAlignment="1">
      <alignment horizontal="center"/>
    </xf>
    <xf numFmtId="3" fontId="12" fillId="17" borderId="3" xfId="0" applyNumberFormat="1" applyFont="1" applyFill="1" applyBorder="1" applyAlignment="1">
      <alignment horizontal="center" wrapText="1"/>
    </xf>
    <xf numFmtId="3" fontId="12" fillId="17" borderId="13" xfId="0" applyNumberFormat="1" applyFont="1" applyFill="1" applyBorder="1" applyAlignment="1">
      <alignment horizontal="center" wrapText="1"/>
    </xf>
    <xf numFmtId="0" fontId="8" fillId="16" borderId="1" xfId="0" applyFont="1" applyFill="1" applyBorder="1" applyAlignment="1">
      <alignment horizontal="center"/>
    </xf>
    <xf numFmtId="3" fontId="8" fillId="16" borderId="1" xfId="0" applyNumberFormat="1" applyFont="1" applyFill="1" applyBorder="1" applyAlignment="1">
      <alignment horizontal="center" wrapText="1"/>
    </xf>
    <xf numFmtId="3" fontId="8" fillId="16" borderId="3" xfId="0" applyNumberFormat="1" applyFont="1" applyFill="1" applyBorder="1" applyAlignment="1">
      <alignment horizontal="center" wrapText="1"/>
    </xf>
    <xf numFmtId="3" fontId="8" fillId="9" borderId="13" xfId="0" applyNumberFormat="1" applyFont="1" applyFill="1" applyBorder="1" applyAlignment="1">
      <alignment horizontal="center" wrapText="1"/>
    </xf>
    <xf numFmtId="3" fontId="8" fillId="16" borderId="1" xfId="2" applyNumberFormat="1" applyFont="1" applyFill="1" applyBorder="1"/>
    <xf numFmtId="3" fontId="8" fillId="16" borderId="13" xfId="2" applyNumberFormat="1" applyFont="1" applyFill="1" applyBorder="1"/>
    <xf numFmtId="3" fontId="9" fillId="16" borderId="2" xfId="2" applyNumberFormat="1" applyFont="1" applyFill="1" applyBorder="1"/>
    <xf numFmtId="3" fontId="8" fillId="16" borderId="25" xfId="2" applyNumberFormat="1" applyFont="1" applyFill="1" applyBorder="1"/>
    <xf numFmtId="0" fontId="8" fillId="17" borderId="1" xfId="0" applyFont="1" applyFill="1" applyBorder="1" applyAlignment="1">
      <alignment horizontal="right"/>
    </xf>
    <xf numFmtId="3" fontId="77" fillId="0" borderId="0" xfId="0" applyNumberFormat="1" applyFont="1"/>
    <xf numFmtId="0" fontId="79" fillId="0" borderId="0" xfId="0" applyFont="1"/>
    <xf numFmtId="0" fontId="80" fillId="0" borderId="0" xfId="0" applyFont="1"/>
    <xf numFmtId="3" fontId="46" fillId="0" borderId="0" xfId="0" applyNumberFormat="1" applyFont="1" applyFill="1" applyBorder="1" applyAlignment="1">
      <alignment horizontal="right"/>
    </xf>
    <xf numFmtId="3" fontId="7" fillId="0" borderId="0" xfId="0" applyNumberFormat="1" applyFont="1" applyFill="1" applyBorder="1" applyAlignment="1"/>
    <xf numFmtId="3" fontId="8" fillId="0" borderId="0" xfId="0" applyNumberFormat="1" applyFont="1" applyFill="1" applyBorder="1"/>
    <xf numFmtId="0" fontId="24" fillId="16" borderId="17" xfId="0" applyFont="1" applyFill="1" applyBorder="1"/>
    <xf numFmtId="0" fontId="20" fillId="16" borderId="17" xfId="0" applyFont="1" applyFill="1" applyBorder="1"/>
    <xf numFmtId="0" fontId="40" fillId="0" borderId="0" xfId="0" applyFont="1" applyAlignment="1">
      <alignment horizontal="right"/>
    </xf>
    <xf numFmtId="10" fontId="7" fillId="0" borderId="0" xfId="6" applyNumberFormat="1" applyFont="1" applyBorder="1"/>
    <xf numFmtId="2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right"/>
    </xf>
    <xf numFmtId="0" fontId="69" fillId="0" borderId="0" xfId="0" applyFont="1" applyFill="1" applyBorder="1"/>
    <xf numFmtId="2" fontId="7" fillId="0" borderId="0" xfId="0" applyNumberFormat="1" applyFont="1" applyFill="1" applyBorder="1"/>
    <xf numFmtId="4" fontId="78" fillId="0" borderId="0" xfId="0" applyNumberFormat="1" applyFont="1" applyFill="1" applyBorder="1"/>
    <xf numFmtId="4" fontId="56" fillId="0" borderId="0" xfId="0" applyNumberFormat="1" applyFont="1" applyFill="1" applyBorder="1"/>
    <xf numFmtId="0" fontId="43" fillId="0" borderId="0" xfId="0" applyFont="1" applyFill="1" applyBorder="1" applyAlignment="1">
      <alignment horizontal="center"/>
    </xf>
    <xf numFmtId="4" fontId="77" fillId="0" borderId="0" xfId="0" applyNumberFormat="1" applyFont="1" applyFill="1" applyBorder="1"/>
    <xf numFmtId="0" fontId="44" fillId="0" borderId="0" xfId="0" applyFont="1" applyFill="1" applyBorder="1"/>
    <xf numFmtId="0" fontId="8" fillId="0" borderId="0" xfId="0" applyFont="1" applyFill="1" applyBorder="1" applyAlignment="1">
      <alignment horizontal="left"/>
    </xf>
    <xf numFmtId="1" fontId="8" fillId="16" borderId="1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/>
    <xf numFmtId="0" fontId="8" fillId="0" borderId="0" xfId="0" applyFont="1" applyFill="1" applyBorder="1" applyAlignment="1"/>
    <xf numFmtId="165" fontId="59" fillId="0" borderId="0" xfId="0" applyNumberFormat="1" applyFont="1" applyFill="1" applyBorder="1" applyAlignment="1">
      <alignment horizontal="right"/>
    </xf>
    <xf numFmtId="165" fontId="55" fillId="0" borderId="0" xfId="0" applyNumberFormat="1" applyFont="1" applyFill="1" applyBorder="1" applyAlignment="1">
      <alignment horizontal="right"/>
    </xf>
    <xf numFmtId="165" fontId="7" fillId="0" borderId="0" xfId="0" applyNumberFormat="1" applyFont="1" applyFill="1" applyBorder="1" applyAlignment="1">
      <alignment horizontal="right"/>
    </xf>
    <xf numFmtId="165" fontId="8" fillId="0" borderId="0" xfId="0" applyNumberFormat="1" applyFont="1" applyFill="1" applyBorder="1" applyAlignment="1">
      <alignment horizontal="right"/>
    </xf>
    <xf numFmtId="0" fontId="54" fillId="0" borderId="0" xfId="0" applyFont="1" applyFill="1" applyBorder="1" applyAlignment="1">
      <alignment horizontal="right"/>
    </xf>
    <xf numFmtId="2" fontId="20" fillId="0" borderId="0" xfId="0" applyNumberFormat="1" applyFont="1" applyFill="1" applyBorder="1"/>
    <xf numFmtId="9" fontId="20" fillId="0" borderId="0" xfId="6" applyFont="1" applyFill="1" applyBorder="1"/>
    <xf numFmtId="2" fontId="76" fillId="0" borderId="0" xfId="0" applyNumberFormat="1" applyFont="1" applyFill="1" applyBorder="1"/>
    <xf numFmtId="167" fontId="13" fillId="0" borderId="0" xfId="6" applyNumberFormat="1" applyFont="1" applyFill="1" applyBorder="1"/>
    <xf numFmtId="0" fontId="13" fillId="0" borderId="0" xfId="0" applyFont="1" applyFill="1" applyBorder="1"/>
    <xf numFmtId="9" fontId="68" fillId="0" borderId="0" xfId="6" applyFont="1" applyFill="1" applyBorder="1"/>
    <xf numFmtId="0" fontId="7" fillId="0" borderId="0" xfId="0" applyFont="1" applyBorder="1" applyAlignment="1"/>
    <xf numFmtId="0" fontId="7" fillId="0" borderId="0" xfId="0" applyFont="1" applyAlignment="1"/>
    <xf numFmtId="3" fontId="78" fillId="0" borderId="0" xfId="0" applyNumberFormat="1" applyFont="1" applyFill="1" applyBorder="1"/>
    <xf numFmtId="3" fontId="77" fillId="0" borderId="0" xfId="0" applyNumberFormat="1" applyFont="1" applyFill="1" applyBorder="1"/>
    <xf numFmtId="166" fontId="75" fillId="0" borderId="0" xfId="0" applyNumberFormat="1" applyFont="1" applyFill="1" applyBorder="1" applyAlignment="1">
      <alignment horizontal="center"/>
    </xf>
    <xf numFmtId="0" fontId="77" fillId="0" borderId="0" xfId="0" applyFont="1" applyFill="1" applyBorder="1"/>
    <xf numFmtId="0" fontId="82" fillId="0" borderId="0" xfId="0" applyFont="1" applyFill="1" applyBorder="1"/>
    <xf numFmtId="0" fontId="74" fillId="0" borderId="0" xfId="0" applyFont="1" applyFill="1" applyBorder="1" applyAlignment="1">
      <alignment horizontal="center" vertical="center" wrapText="1"/>
    </xf>
    <xf numFmtId="166" fontId="74" fillId="0" borderId="0" xfId="0" applyNumberFormat="1" applyFont="1" applyFill="1" applyBorder="1" applyAlignment="1">
      <alignment horizontal="center"/>
    </xf>
    <xf numFmtId="0" fontId="74" fillId="0" borderId="0" xfId="0" applyFont="1" applyFill="1" applyBorder="1"/>
    <xf numFmtId="166" fontId="75" fillId="0" borderId="0" xfId="0" applyNumberFormat="1" applyFont="1" applyFill="1" applyBorder="1"/>
    <xf numFmtId="0" fontId="8" fillId="29" borderId="0" xfId="0" applyFont="1" applyFill="1"/>
    <xf numFmtId="9" fontId="10" fillId="0" borderId="0" xfId="6" applyFont="1"/>
    <xf numFmtId="0" fontId="80" fillId="7" borderId="46" xfId="5" applyFont="1" applyAlignment="1">
      <alignment horizontal="center"/>
    </xf>
    <xf numFmtId="0" fontId="25" fillId="16" borderId="0" xfId="0" applyFont="1" applyFill="1"/>
    <xf numFmtId="0" fontId="18" fillId="16" borderId="0" xfId="0" applyFont="1" applyFill="1"/>
    <xf numFmtId="1" fontId="47" fillId="5" borderId="1" xfId="0" applyNumberFormat="1" applyFont="1" applyFill="1" applyBorder="1" applyAlignment="1">
      <alignment horizontal="center"/>
    </xf>
    <xf numFmtId="4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47" fillId="0" borderId="1" xfId="0" applyFont="1" applyBorder="1" applyAlignment="1">
      <alignment horizontal="left"/>
    </xf>
    <xf numFmtId="2" fontId="47" fillId="5" borderId="1" xfId="0" applyNumberFormat="1" applyFont="1" applyFill="1" applyBorder="1" applyAlignment="1">
      <alignment horizontal="center"/>
    </xf>
    <xf numFmtId="1" fontId="47" fillId="30" borderId="1" xfId="0" applyNumberFormat="1" applyFont="1" applyFill="1" applyBorder="1" applyAlignment="1">
      <alignment horizontal="center"/>
    </xf>
    <xf numFmtId="2" fontId="0" fillId="30" borderId="1" xfId="0" applyNumberFormat="1" applyFill="1" applyBorder="1" applyAlignment="1">
      <alignment horizontal="center"/>
    </xf>
    <xf numFmtId="1" fontId="48" fillId="6" borderId="35" xfId="0" applyNumberFormat="1" applyFont="1" applyFill="1" applyBorder="1" applyAlignment="1">
      <alignment horizontal="center" vertical="center"/>
    </xf>
    <xf numFmtId="0" fontId="48" fillId="6" borderId="35" xfId="0" applyFont="1" applyFill="1" applyBorder="1" applyAlignment="1">
      <alignment horizontal="center" vertical="center"/>
    </xf>
    <xf numFmtId="49" fontId="48" fillId="6" borderId="35" xfId="0" applyNumberFormat="1" applyFont="1" applyFill="1" applyBorder="1" applyAlignment="1">
      <alignment horizontal="center" vertical="center" wrapText="1"/>
    </xf>
    <xf numFmtId="2" fontId="48" fillId="6" borderId="35" xfId="0" applyNumberFormat="1" applyFont="1" applyFill="1" applyBorder="1" applyAlignment="1">
      <alignment horizontal="center" vertical="center" wrapText="1"/>
    </xf>
    <xf numFmtId="0" fontId="48" fillId="6" borderId="35" xfId="0" applyNumberFormat="1" applyFont="1" applyFill="1" applyBorder="1" applyAlignment="1">
      <alignment horizontal="center" vertical="center" wrapText="1"/>
    </xf>
    <xf numFmtId="2" fontId="48" fillId="6" borderId="37" xfId="0" applyNumberFormat="1" applyFont="1" applyFill="1" applyBorder="1" applyAlignment="1">
      <alignment horizontal="center" vertical="center" wrapText="1"/>
    </xf>
    <xf numFmtId="3" fontId="59" fillId="0" borderId="0" xfId="0" applyNumberFormat="1" applyFont="1"/>
    <xf numFmtId="0" fontId="76" fillId="0" borderId="0" xfId="0" applyFont="1" applyFill="1" applyBorder="1"/>
    <xf numFmtId="3" fontId="78" fillId="0" borderId="0" xfId="0" applyNumberFormat="1" applyFont="1" applyFill="1" applyBorder="1" applyAlignment="1">
      <alignment horizontal="center"/>
    </xf>
    <xf numFmtId="4" fontId="7" fillId="12" borderId="14" xfId="0" applyNumberFormat="1" applyFont="1" applyFill="1" applyBorder="1"/>
    <xf numFmtId="4" fontId="7" fillId="12" borderId="18" xfId="0" applyNumberFormat="1" applyFont="1" applyFill="1" applyBorder="1"/>
    <xf numFmtId="0" fontId="20" fillId="9" borderId="0" xfId="0" applyFont="1" applyFill="1"/>
    <xf numFmtId="2" fontId="7" fillId="12" borderId="0" xfId="0" applyNumberFormat="1" applyFont="1" applyFill="1"/>
    <xf numFmtId="0" fontId="20" fillId="31" borderId="0" xfId="0" applyFont="1" applyFill="1"/>
    <xf numFmtId="0" fontId="54" fillId="31" borderId="0" xfId="0" applyFont="1" applyFill="1"/>
    <xf numFmtId="0" fontId="7" fillId="0" borderId="46" xfId="5" applyFont="1" applyFill="1" applyAlignment="1">
      <alignment horizontal="center"/>
    </xf>
    <xf numFmtId="0" fontId="49" fillId="0" borderId="0" xfId="0" applyFont="1"/>
    <xf numFmtId="0" fontId="40" fillId="16" borderId="17" xfId="0" applyFont="1" applyFill="1" applyBorder="1"/>
    <xf numFmtId="0" fontId="21" fillId="16" borderId="0" xfId="0" applyFont="1" applyFill="1"/>
    <xf numFmtId="3" fontId="83" fillId="0" borderId="0" xfId="0" applyNumberFormat="1" applyFont="1"/>
    <xf numFmtId="0" fontId="83" fillId="0" borderId="0" xfId="0" applyFont="1" applyAlignment="1">
      <alignment horizontal="right"/>
    </xf>
    <xf numFmtId="3" fontId="84" fillId="0" borderId="0" xfId="0" applyNumberFormat="1" applyFont="1" applyAlignment="1">
      <alignment horizontal="left"/>
    </xf>
    <xf numFmtId="3" fontId="84" fillId="0" borderId="0" xfId="0" applyNumberFormat="1" applyFont="1"/>
    <xf numFmtId="0" fontId="7" fillId="16" borderId="0" xfId="0" applyFont="1" applyFill="1"/>
    <xf numFmtId="3" fontId="8" fillId="16" borderId="0" xfId="0" applyNumberFormat="1" applyFont="1" applyFill="1" applyBorder="1" applyAlignment="1"/>
    <xf numFmtId="3" fontId="8" fillId="16" borderId="0" xfId="0" applyNumberFormat="1" applyFont="1" applyFill="1" applyAlignment="1">
      <alignment horizontal="right"/>
    </xf>
    <xf numFmtId="0" fontId="8" fillId="16" borderId="0" xfId="0" applyFont="1" applyFill="1" applyAlignment="1">
      <alignment horizontal="right"/>
    </xf>
    <xf numFmtId="1" fontId="75" fillId="0" borderId="0" xfId="0" applyNumberFormat="1" applyFont="1"/>
    <xf numFmtId="2" fontId="7" fillId="12" borderId="1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3" fontId="85" fillId="0" borderId="0" xfId="0" applyNumberFormat="1" applyFont="1" applyFill="1" applyBorder="1"/>
    <xf numFmtId="3" fontId="59" fillId="0" borderId="0" xfId="0" applyNumberFormat="1" applyFont="1" applyFill="1" applyBorder="1"/>
    <xf numFmtId="3" fontId="86" fillId="0" borderId="0" xfId="0" applyNumberFormat="1" applyFont="1" applyFill="1" applyBorder="1"/>
    <xf numFmtId="3" fontId="78" fillId="0" borderId="0" xfId="0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9" fontId="24" fillId="10" borderId="0" xfId="6" applyFont="1" applyFill="1"/>
    <xf numFmtId="3" fontId="8" fillId="28" borderId="2" xfId="0" applyNumberFormat="1" applyFont="1" applyFill="1" applyBorder="1" applyAlignment="1">
      <alignment horizontal="right"/>
    </xf>
    <xf numFmtId="3" fontId="87" fillId="33" borderId="1" xfId="0" applyNumberFormat="1" applyFont="1" applyFill="1" applyBorder="1" applyAlignment="1">
      <alignment horizontal="right"/>
    </xf>
    <xf numFmtId="0" fontId="75" fillId="0" borderId="0" xfId="0" applyFont="1" applyAlignment="1">
      <alignment horizontal="right"/>
    </xf>
    <xf numFmtId="3" fontId="75" fillId="0" borderId="0" xfId="0" applyNumberFormat="1" applyFont="1" applyBorder="1" applyAlignment="1">
      <alignment horizontal="right"/>
    </xf>
    <xf numFmtId="3" fontId="75" fillId="0" borderId="0" xfId="0" applyNumberFormat="1" applyFont="1" applyBorder="1"/>
    <xf numFmtId="3" fontId="7" fillId="0" borderId="24" xfId="0" applyNumberFormat="1" applyFont="1" applyFill="1" applyBorder="1" applyAlignment="1">
      <alignment horizontal="center"/>
    </xf>
    <xf numFmtId="0" fontId="7" fillId="0" borderId="24" xfId="0" applyFont="1" applyFill="1" applyBorder="1"/>
    <xf numFmtId="0" fontId="7" fillId="0" borderId="15" xfId="0" applyFont="1" applyFill="1" applyBorder="1"/>
    <xf numFmtId="0" fontId="7" fillId="0" borderId="16" xfId="0" applyFont="1" applyBorder="1"/>
    <xf numFmtId="0" fontId="7" fillId="0" borderId="17" xfId="0" applyFont="1" applyBorder="1"/>
    <xf numFmtId="0" fontId="8" fillId="0" borderId="16" xfId="0" applyFont="1" applyBorder="1"/>
    <xf numFmtId="0" fontId="8" fillId="0" borderId="16" xfId="0" applyFont="1" applyBorder="1" applyAlignment="1">
      <alignment horizontal="right"/>
    </xf>
    <xf numFmtId="2" fontId="8" fillId="0" borderId="0" xfId="0" applyNumberFormat="1" applyFont="1" applyBorder="1" applyAlignment="1">
      <alignment horizontal="center"/>
    </xf>
    <xf numFmtId="9" fontId="7" fillId="0" borderId="0" xfId="6" applyFont="1" applyBorder="1"/>
    <xf numFmtId="9" fontId="7" fillId="0" borderId="0" xfId="6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8" fillId="0" borderId="18" xfId="0" applyFont="1" applyBorder="1"/>
    <xf numFmtId="0" fontId="7" fillId="0" borderId="12" xfId="0" applyFont="1" applyBorder="1" applyAlignment="1">
      <alignment horizontal="center"/>
    </xf>
    <xf numFmtId="0" fontId="7" fillId="0" borderId="12" xfId="0" applyFont="1" applyBorder="1"/>
    <xf numFmtId="0" fontId="7" fillId="0" borderId="21" xfId="0" applyFont="1" applyBorder="1"/>
    <xf numFmtId="0" fontId="7" fillId="0" borderId="24" xfId="0" applyFont="1" applyBorder="1" applyAlignment="1">
      <alignment horizontal="left"/>
    </xf>
    <xf numFmtId="10" fontId="7" fillId="0" borderId="0" xfId="0" applyNumberFormat="1" applyFont="1" applyAlignment="1">
      <alignment horizontal="right"/>
    </xf>
    <xf numFmtId="0" fontId="88" fillId="0" borderId="0" xfId="0" applyFont="1"/>
    <xf numFmtId="0" fontId="59" fillId="0" borderId="0" xfId="0" applyFont="1" applyFill="1" applyBorder="1"/>
    <xf numFmtId="0" fontId="89" fillId="0" borderId="0" xfId="0" applyFont="1"/>
    <xf numFmtId="0" fontId="8" fillId="0" borderId="0" xfId="0" applyFont="1" applyBorder="1"/>
    <xf numFmtId="3" fontId="28" fillId="0" borderId="0" xfId="0" applyNumberFormat="1" applyFont="1" applyFill="1" applyBorder="1" applyAlignment="1">
      <alignment horizontal="right"/>
    </xf>
    <xf numFmtId="0" fontId="75" fillId="0" borderId="0" xfId="0" applyFont="1" applyBorder="1"/>
    <xf numFmtId="0" fontId="75" fillId="0" borderId="0" xfId="0" applyFont="1" applyBorder="1" applyAlignment="1">
      <alignment horizontal="right"/>
    </xf>
    <xf numFmtId="9" fontId="75" fillId="0" borderId="0" xfId="6" applyFont="1" applyBorder="1" applyAlignment="1">
      <alignment horizontal="right"/>
    </xf>
    <xf numFmtId="0" fontId="7" fillId="0" borderId="0" xfId="0" applyFont="1" applyFill="1" applyAlignment="1">
      <alignment horizontal="center" vertical="center"/>
    </xf>
    <xf numFmtId="3" fontId="39" fillId="0" borderId="1" xfId="0" applyNumberFormat="1" applyFont="1" applyFill="1" applyBorder="1" applyAlignment="1">
      <alignment horizontal="right"/>
    </xf>
    <xf numFmtId="0" fontId="40" fillId="29" borderId="1" xfId="0" applyFont="1" applyFill="1" applyBorder="1" applyAlignment="1">
      <alignment horizontal="right"/>
    </xf>
    <xf numFmtId="3" fontId="8" fillId="29" borderId="1" xfId="0" applyNumberFormat="1" applyFont="1" applyFill="1" applyBorder="1" applyAlignment="1">
      <alignment horizontal="center"/>
    </xf>
    <xf numFmtId="0" fontId="8" fillId="29" borderId="1" xfId="0" applyFont="1" applyFill="1" applyBorder="1" applyAlignment="1">
      <alignment horizontal="right"/>
    </xf>
    <xf numFmtId="3" fontId="90" fillId="0" borderId="0" xfId="0" applyNumberFormat="1" applyFont="1" applyFill="1" applyBorder="1" applyAlignment="1">
      <alignment horizontal="right"/>
    </xf>
    <xf numFmtId="3" fontId="13" fillId="0" borderId="0" xfId="0" applyNumberFormat="1" applyFont="1" applyFill="1" applyBorder="1" applyAlignment="1">
      <alignment horizontal="center"/>
    </xf>
    <xf numFmtId="9" fontId="13" fillId="0" borderId="0" xfId="6" applyFont="1" applyFill="1" applyBorder="1" applyAlignment="1">
      <alignment horizontal="center"/>
    </xf>
    <xf numFmtId="3" fontId="75" fillId="0" borderId="0" xfId="0" applyNumberFormat="1" applyFont="1" applyFill="1" applyBorder="1" applyAlignment="1">
      <alignment horizontal="right"/>
    </xf>
    <xf numFmtId="3" fontId="90" fillId="0" borderId="0" xfId="0" applyNumberFormat="1" applyFont="1" applyAlignment="1">
      <alignment horizontal="right"/>
    </xf>
    <xf numFmtId="3" fontId="8" fillId="34" borderId="0" xfId="0" applyNumberFormat="1" applyFont="1" applyFill="1" applyAlignment="1">
      <alignment horizontal="center"/>
    </xf>
    <xf numFmtId="3" fontId="9" fillId="34" borderId="2" xfId="0" applyNumberFormat="1" applyFont="1" applyFill="1" applyBorder="1" applyAlignment="1">
      <alignment horizontal="right"/>
    </xf>
    <xf numFmtId="10" fontId="8" fillId="12" borderId="0" xfId="6" applyNumberFormat="1" applyFont="1" applyFill="1"/>
    <xf numFmtId="3" fontId="82" fillId="0" borderId="0" xfId="0" applyNumberFormat="1" applyFont="1"/>
    <xf numFmtId="0" fontId="82" fillId="0" borderId="0" xfId="0" applyFont="1" applyAlignment="1">
      <alignment horizontal="right"/>
    </xf>
    <xf numFmtId="46" fontId="91" fillId="0" borderId="0" xfId="0" quotePrefix="1" applyNumberFormat="1" applyFont="1" applyFill="1" applyAlignment="1">
      <alignment horizontal="right"/>
    </xf>
    <xf numFmtId="3" fontId="91" fillId="0" borderId="0" xfId="0" applyNumberFormat="1" applyFont="1" applyFill="1" applyAlignment="1">
      <alignment horizontal="right"/>
    </xf>
    <xf numFmtId="9" fontId="91" fillId="0" borderId="0" xfId="6" applyFont="1" applyFill="1" applyAlignment="1">
      <alignment horizontal="center"/>
    </xf>
    <xf numFmtId="0" fontId="7" fillId="28" borderId="1" xfId="0" applyFont="1" applyFill="1" applyBorder="1" applyAlignment="1">
      <alignment horizontal="right"/>
    </xf>
    <xf numFmtId="9" fontId="92" fillId="0" borderId="0" xfId="6" applyFont="1" applyFill="1" applyAlignment="1">
      <alignment horizontal="right"/>
    </xf>
    <xf numFmtId="3" fontId="93" fillId="0" borderId="0" xfId="0" applyNumberFormat="1" applyFont="1" applyBorder="1" applyAlignment="1">
      <alignment horizontal="right"/>
    </xf>
    <xf numFmtId="0" fontId="75" fillId="0" borderId="0" xfId="0" applyFont="1" applyFill="1" applyBorder="1"/>
    <xf numFmtId="0" fontId="47" fillId="0" borderId="1" xfId="0" applyFont="1" applyBorder="1" applyAlignment="1">
      <alignment horizontal="center"/>
    </xf>
    <xf numFmtId="0" fontId="8" fillId="16" borderId="1" xfId="0" applyFont="1" applyFill="1" applyBorder="1" applyAlignment="1">
      <alignment horizontal="center" vertical="center" wrapText="1"/>
    </xf>
    <xf numFmtId="0" fontId="8" fillId="0" borderId="0" xfId="3" applyFont="1" applyBorder="1" applyAlignment="1">
      <alignment horizontal="center"/>
    </xf>
    <xf numFmtId="0" fontId="20" fillId="16" borderId="12" xfId="0" applyFont="1" applyFill="1" applyBorder="1"/>
    <xf numFmtId="0" fontId="20" fillId="16" borderId="21" xfId="0" applyFont="1" applyFill="1" applyBorder="1"/>
    <xf numFmtId="0" fontId="25" fillId="16" borderId="12" xfId="0" applyFont="1" applyFill="1" applyBorder="1"/>
    <xf numFmtId="14" fontId="9" fillId="10" borderId="0" xfId="0" applyNumberFormat="1" applyFont="1" applyFill="1"/>
    <xf numFmtId="0" fontId="8" fillId="10" borderId="0" xfId="0" applyFont="1" applyFill="1"/>
    <xf numFmtId="0" fontId="20" fillId="10" borderId="0" xfId="0" applyFont="1" applyFill="1"/>
    <xf numFmtId="3" fontId="94" fillId="0" borderId="0" xfId="0" applyNumberFormat="1" applyFont="1"/>
    <xf numFmtId="3" fontId="30" fillId="0" borderId="0" xfId="0" applyNumberFormat="1" applyFont="1" applyFill="1" applyBorder="1" applyAlignment="1">
      <alignment horizontal="right"/>
    </xf>
    <xf numFmtId="3" fontId="61" fillId="0" borderId="0" xfId="0" applyNumberFormat="1" applyFont="1" applyFill="1" applyBorder="1" applyAlignment="1">
      <alignment horizontal="right"/>
    </xf>
    <xf numFmtId="3" fontId="75" fillId="0" borderId="0" xfId="0" applyNumberFormat="1" applyFont="1" applyFill="1" applyAlignment="1">
      <alignment horizontal="right"/>
    </xf>
    <xf numFmtId="4" fontId="75" fillId="0" borderId="0" xfId="0" applyNumberFormat="1" applyFont="1" applyFill="1" applyAlignment="1">
      <alignment horizontal="center"/>
    </xf>
    <xf numFmtId="4" fontId="75" fillId="0" borderId="0" xfId="0" applyNumberFormat="1" applyFont="1" applyFill="1" applyAlignment="1">
      <alignment horizontal="left"/>
    </xf>
    <xf numFmtId="173" fontId="74" fillId="0" borderId="2" xfId="2" applyNumberFormat="1" applyFont="1" applyFill="1" applyBorder="1" applyAlignment="1">
      <alignment horizontal="right"/>
    </xf>
    <xf numFmtId="0" fontId="95" fillId="0" borderId="0" xfId="0" applyFont="1" applyAlignment="1">
      <alignment horizontal="left"/>
    </xf>
    <xf numFmtId="0" fontId="95" fillId="0" borderId="0" xfId="0" applyFont="1" applyAlignment="1">
      <alignment horizontal="center"/>
    </xf>
    <xf numFmtId="9" fontId="8" fillId="0" borderId="0" xfId="6" applyFont="1" applyFill="1" applyBorder="1" applyAlignment="1">
      <alignment horizontal="right"/>
    </xf>
    <xf numFmtId="3" fontId="11" fillId="0" borderId="0" xfId="0" applyNumberFormat="1" applyFont="1" applyFill="1" applyBorder="1" applyAlignment="1">
      <alignment horizontal="right"/>
    </xf>
    <xf numFmtId="3" fontId="29" fillId="0" borderId="0" xfId="0" applyNumberFormat="1" applyFont="1" applyFill="1" applyBorder="1" applyAlignment="1">
      <alignment horizontal="right"/>
    </xf>
    <xf numFmtId="3" fontId="75" fillId="0" borderId="0" xfId="0" applyNumberFormat="1" applyFont="1" applyFill="1"/>
    <xf numFmtId="0" fontId="8" fillId="23" borderId="1" xfId="0" applyFont="1" applyFill="1" applyBorder="1" applyAlignment="1">
      <alignment horizontal="center" wrapText="1"/>
    </xf>
    <xf numFmtId="0" fontId="8" fillId="36" borderId="1" xfId="0" applyFont="1" applyFill="1" applyBorder="1" applyAlignment="1">
      <alignment horizontal="center" wrapText="1"/>
    </xf>
    <xf numFmtId="0" fontId="8" fillId="0" borderId="38" xfId="0" applyFont="1" applyFill="1" applyBorder="1"/>
    <xf numFmtId="10" fontId="7" fillId="0" borderId="40" xfId="0" applyNumberFormat="1" applyFont="1" applyBorder="1"/>
    <xf numFmtId="0" fontId="8" fillId="0" borderId="41" xfId="0" applyFont="1" applyFill="1" applyBorder="1"/>
    <xf numFmtId="10" fontId="7" fillId="0" borderId="42" xfId="0" applyNumberFormat="1" applyFont="1" applyBorder="1"/>
    <xf numFmtId="0" fontId="8" fillId="0" borderId="43" xfId="0" applyFont="1" applyFill="1" applyBorder="1"/>
    <xf numFmtId="3" fontId="8" fillId="0" borderId="48" xfId="2" applyNumberFormat="1" applyFont="1" applyBorder="1"/>
    <xf numFmtId="3" fontId="8" fillId="16" borderId="47" xfId="2" applyNumberFormat="1" applyFont="1" applyFill="1" applyBorder="1"/>
    <xf numFmtId="3" fontId="8" fillId="16" borderId="26" xfId="2" applyNumberFormat="1" applyFont="1" applyFill="1" applyBorder="1"/>
    <xf numFmtId="3" fontId="7" fillId="0" borderId="1" xfId="2" applyNumberFormat="1" applyFont="1" applyFill="1" applyBorder="1"/>
    <xf numFmtId="1" fontId="7" fillId="0" borderId="0" xfId="6" applyNumberFormat="1" applyFont="1"/>
    <xf numFmtId="1" fontId="7" fillId="0" borderId="0" xfId="0" applyNumberFormat="1" applyFont="1"/>
    <xf numFmtId="4" fontId="20" fillId="32" borderId="0" xfId="0" applyNumberFormat="1" applyFont="1" applyFill="1"/>
    <xf numFmtId="44" fontId="96" fillId="0" borderId="0" xfId="2" applyFont="1" applyFill="1" applyBorder="1"/>
    <xf numFmtId="3" fontId="97" fillId="0" borderId="0" xfId="0" applyNumberFormat="1" applyFont="1"/>
    <xf numFmtId="3" fontId="8" fillId="11" borderId="48" xfId="0" applyNumberFormat="1" applyFont="1" applyFill="1" applyBorder="1" applyAlignment="1">
      <alignment horizontal="right"/>
    </xf>
    <xf numFmtId="0" fontId="8" fillId="0" borderId="13" xfId="0" applyFont="1" applyBorder="1" applyAlignment="1">
      <alignment horizontal="center" vertical="center" wrapText="1"/>
    </xf>
    <xf numFmtId="3" fontId="8" fillId="11" borderId="38" xfId="0" applyNumberFormat="1" applyFont="1" applyFill="1" applyBorder="1" applyAlignment="1">
      <alignment horizontal="right"/>
    </xf>
    <xf numFmtId="3" fontId="8" fillId="11" borderId="40" xfId="0" applyNumberFormat="1" applyFont="1" applyFill="1" applyBorder="1" applyAlignment="1">
      <alignment horizontal="right"/>
    </xf>
    <xf numFmtId="3" fontId="8" fillId="11" borderId="41" xfId="0" applyNumberFormat="1" applyFont="1" applyFill="1" applyBorder="1" applyAlignment="1">
      <alignment horizontal="right"/>
    </xf>
    <xf numFmtId="3" fontId="8" fillId="11" borderId="42" xfId="0" applyNumberFormat="1" applyFont="1" applyFill="1" applyBorder="1" applyAlignment="1">
      <alignment horizontal="right"/>
    </xf>
    <xf numFmtId="3" fontId="8" fillId="11" borderId="43" xfId="0" applyNumberFormat="1" applyFont="1" applyFill="1" applyBorder="1" applyAlignment="1">
      <alignment horizontal="right"/>
    </xf>
    <xf numFmtId="3" fontId="8" fillId="11" borderId="45" xfId="0" applyNumberFormat="1" applyFont="1" applyFill="1" applyBorder="1" applyAlignment="1">
      <alignment horizontal="right"/>
    </xf>
    <xf numFmtId="4" fontId="97" fillId="0" borderId="0" xfId="0" applyNumberFormat="1" applyFont="1" applyFill="1" applyAlignment="1">
      <alignment horizontal="right"/>
    </xf>
    <xf numFmtId="0" fontId="8" fillId="9" borderId="0" xfId="0" applyFont="1" applyFill="1" applyAlignment="1">
      <alignment horizontal="right"/>
    </xf>
    <xf numFmtId="3" fontId="8" fillId="9" borderId="0" xfId="0" applyNumberFormat="1" applyFont="1" applyFill="1"/>
    <xf numFmtId="3" fontId="8" fillId="37" borderId="2" xfId="0" applyNumberFormat="1" applyFont="1" applyFill="1" applyBorder="1" applyAlignment="1"/>
    <xf numFmtId="0" fontId="97" fillId="0" borderId="0" xfId="0" applyFont="1" applyFill="1" applyBorder="1" applyAlignment="1">
      <alignment horizontal="right"/>
    </xf>
    <xf numFmtId="3" fontId="98" fillId="0" borderId="0" xfId="0" applyNumberFormat="1" applyFont="1" applyFill="1" applyBorder="1" applyAlignment="1"/>
    <xf numFmtId="0" fontId="8" fillId="38" borderId="0" xfId="0" applyFont="1" applyFill="1" applyAlignment="1">
      <alignment horizontal="right"/>
    </xf>
    <xf numFmtId="3" fontId="8" fillId="38" borderId="0" xfId="0" applyNumberFormat="1" applyFont="1" applyFill="1"/>
    <xf numFmtId="0" fontId="97" fillId="0" borderId="0" xfId="0" applyFont="1" applyAlignment="1">
      <alignment horizontal="right"/>
    </xf>
    <xf numFmtId="3" fontId="7" fillId="0" borderId="15" xfId="0" applyNumberFormat="1" applyFont="1" applyBorder="1"/>
    <xf numFmtId="3" fontId="8" fillId="37" borderId="0" xfId="2" applyNumberFormat="1" applyFont="1" applyFill="1"/>
    <xf numFmtId="44" fontId="0" fillId="0" borderId="0" xfId="0" applyNumberFormat="1"/>
    <xf numFmtId="0" fontId="8" fillId="9" borderId="28" xfId="0" applyFont="1" applyFill="1" applyBorder="1" applyAlignment="1">
      <alignment horizontal="center" vertical="center" wrapText="1"/>
    </xf>
    <xf numFmtId="0" fontId="8" fillId="16" borderId="22" xfId="0" applyFont="1" applyFill="1" applyBorder="1"/>
    <xf numFmtId="44" fontId="96" fillId="0" borderId="0" xfId="2" applyFont="1" applyFill="1" applyBorder="1" applyAlignment="1"/>
    <xf numFmtId="0" fontId="74" fillId="0" borderId="0" xfId="0" applyFont="1" applyFill="1" applyAlignment="1">
      <alignment horizontal="center"/>
    </xf>
    <xf numFmtId="7" fontId="75" fillId="0" borderId="0" xfId="1" applyNumberFormat="1" applyFont="1" applyFill="1" applyBorder="1"/>
    <xf numFmtId="7" fontId="74" fillId="0" borderId="0" xfId="1" applyNumberFormat="1" applyFont="1" applyFill="1" applyBorder="1"/>
    <xf numFmtId="171" fontId="100" fillId="0" borderId="0" xfId="0" applyNumberFormat="1" applyFont="1" applyFill="1" applyBorder="1"/>
    <xf numFmtId="170" fontId="75" fillId="0" borderId="0" xfId="2" applyNumberFormat="1" applyFont="1" applyFill="1" applyBorder="1"/>
    <xf numFmtId="4" fontId="10" fillId="0" borderId="0" xfId="0" applyNumberFormat="1" applyFont="1" applyAlignment="1">
      <alignment horizontal="right"/>
    </xf>
    <xf numFmtId="3" fontId="9" fillId="33" borderId="0" xfId="0" applyNumberFormat="1" applyFont="1" applyFill="1" applyAlignment="1">
      <alignment horizontal="center"/>
    </xf>
    <xf numFmtId="3" fontId="8" fillId="33" borderId="0" xfId="0" applyNumberFormat="1" applyFont="1" applyFill="1" applyAlignment="1">
      <alignment horizontal="center"/>
    </xf>
    <xf numFmtId="3" fontId="98" fillId="0" borderId="0" xfId="0" applyNumberFormat="1" applyFont="1" applyFill="1" applyAlignment="1">
      <alignment horizontal="right"/>
    </xf>
    <xf numFmtId="0" fontId="8" fillId="9" borderId="52" xfId="0" applyFont="1" applyFill="1" applyBorder="1" applyAlignment="1">
      <alignment horizontal="center" wrapText="1"/>
    </xf>
    <xf numFmtId="0" fontId="7" fillId="0" borderId="22" xfId="0" applyFont="1" applyFill="1" applyBorder="1" applyAlignment="1">
      <alignment horizontal="center" vertical="center"/>
    </xf>
    <xf numFmtId="3" fontId="98" fillId="0" borderId="28" xfId="0" applyNumberFormat="1" applyFont="1" applyFill="1" applyBorder="1" applyAlignment="1">
      <alignment horizontal="right" vertical="center" wrapText="1"/>
    </xf>
    <xf numFmtId="9" fontId="7" fillId="10" borderId="23" xfId="6" applyFont="1" applyFill="1" applyBorder="1" applyAlignment="1">
      <alignment horizontal="center" wrapText="1"/>
    </xf>
    <xf numFmtId="0" fontId="7" fillId="0" borderId="28" xfId="0" applyFont="1" applyFill="1" applyBorder="1" applyAlignment="1">
      <alignment horizontal="center" vertical="center" wrapText="1"/>
    </xf>
    <xf numFmtId="168" fontId="78" fillId="0" borderId="0" xfId="6" applyNumberFormat="1" applyFont="1" applyFill="1" applyBorder="1"/>
    <xf numFmtId="168" fontId="7" fillId="0" borderId="0" xfId="6" applyNumberFormat="1" applyFont="1" applyFill="1" applyBorder="1"/>
    <xf numFmtId="0" fontId="7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/>
    <xf numFmtId="3" fontId="8" fillId="0" borderId="5" xfId="0" applyNumberFormat="1" applyFont="1" applyBorder="1" applyAlignment="1">
      <alignment horizontal="right"/>
    </xf>
    <xf numFmtId="0" fontId="7" fillId="0" borderId="5" xfId="0" applyFont="1" applyBorder="1"/>
    <xf numFmtId="3" fontId="7" fillId="0" borderId="5" xfId="0" applyNumberFormat="1" applyFont="1" applyBorder="1"/>
    <xf numFmtId="0" fontId="7" fillId="0" borderId="6" xfId="0" applyFont="1" applyBorder="1"/>
    <xf numFmtId="0" fontId="7" fillId="0" borderId="8" xfId="0" applyFont="1" applyBorder="1"/>
    <xf numFmtId="0" fontId="81" fillId="0" borderId="8" xfId="0" applyFont="1" applyBorder="1"/>
    <xf numFmtId="0" fontId="7" fillId="0" borderId="9" xfId="0" applyFont="1" applyBorder="1"/>
    <xf numFmtId="0" fontId="7" fillId="0" borderId="8" xfId="0" applyFont="1" applyBorder="1" applyAlignment="1"/>
    <xf numFmtId="3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47" xfId="0" applyFont="1" applyBorder="1" applyAlignment="1"/>
    <xf numFmtId="0" fontId="7" fillId="0" borderId="26" xfId="0" applyFont="1" applyFill="1" applyBorder="1"/>
    <xf numFmtId="0" fontId="7" fillId="0" borderId="26" xfId="0" applyFont="1" applyBorder="1"/>
    <xf numFmtId="3" fontId="78" fillId="0" borderId="53" xfId="0" applyNumberFormat="1" applyFont="1" applyFill="1" applyBorder="1"/>
    <xf numFmtId="4" fontId="44" fillId="0" borderId="0" xfId="0" applyNumberFormat="1" applyFont="1"/>
    <xf numFmtId="0" fontId="7" fillId="0" borderId="43" xfId="0" applyFont="1" applyBorder="1"/>
    <xf numFmtId="0" fontId="7" fillId="0" borderId="44" xfId="0" applyFont="1" applyBorder="1"/>
    <xf numFmtId="0" fontId="7" fillId="0" borderId="54" xfId="0" applyFont="1" applyBorder="1"/>
    <xf numFmtId="0" fontId="7" fillId="33" borderId="50" xfId="0" applyFont="1" applyFill="1" applyBorder="1"/>
    <xf numFmtId="0" fontId="7" fillId="33" borderId="20" xfId="0" applyFont="1" applyFill="1" applyBorder="1"/>
    <xf numFmtId="0" fontId="7" fillId="33" borderId="21" xfId="0" applyFont="1" applyFill="1" applyBorder="1"/>
    <xf numFmtId="0" fontId="7" fillId="33" borderId="41" xfId="0" applyFont="1" applyFill="1" applyBorder="1"/>
    <xf numFmtId="0" fontId="7" fillId="33" borderId="1" xfId="0" applyFont="1" applyFill="1" applyBorder="1"/>
    <xf numFmtId="0" fontId="7" fillId="33" borderId="19" xfId="0" applyFont="1" applyFill="1" applyBorder="1"/>
    <xf numFmtId="0" fontId="7" fillId="33" borderId="43" xfId="0" applyFont="1" applyFill="1" applyBorder="1"/>
    <xf numFmtId="0" fontId="7" fillId="33" borderId="44" xfId="0" applyFont="1" applyFill="1" applyBorder="1"/>
    <xf numFmtId="0" fontId="7" fillId="33" borderId="54" xfId="0" applyFont="1" applyFill="1" applyBorder="1"/>
    <xf numFmtId="0" fontId="8" fillId="33" borderId="1" xfId="0" applyFont="1" applyFill="1" applyBorder="1"/>
    <xf numFmtId="0" fontId="102" fillId="0" borderId="0" xfId="0" applyFont="1"/>
    <xf numFmtId="0" fontId="7" fillId="12" borderId="1" xfId="3" applyFont="1" applyFill="1" applyBorder="1" applyAlignment="1">
      <alignment horizontal="center"/>
    </xf>
    <xf numFmtId="0" fontId="7" fillId="0" borderId="45" xfId="0" applyFont="1" applyBorder="1"/>
    <xf numFmtId="0" fontId="7" fillId="33" borderId="51" xfId="0" applyFont="1" applyFill="1" applyBorder="1"/>
    <xf numFmtId="0" fontId="7" fillId="33" borderId="42" xfId="0" applyFont="1" applyFill="1" applyBorder="1"/>
    <xf numFmtId="0" fontId="7" fillId="33" borderId="45" xfId="0" applyFont="1" applyFill="1" applyBorder="1"/>
    <xf numFmtId="9" fontId="8" fillId="0" borderId="0" xfId="6" applyFont="1" applyFill="1" applyBorder="1"/>
    <xf numFmtId="4" fontId="7" fillId="0" borderId="0" xfId="0" applyNumberFormat="1" applyFont="1" applyFill="1" applyBorder="1" applyAlignment="1">
      <alignment horizontal="right"/>
    </xf>
    <xf numFmtId="9" fontId="7" fillId="0" borderId="0" xfId="6" applyFont="1" applyFill="1" applyBorder="1" applyAlignment="1">
      <alignment horizontal="right"/>
    </xf>
    <xf numFmtId="3" fontId="77" fillId="0" borderId="0" xfId="0" applyNumberFormat="1" applyFont="1" applyFill="1" applyBorder="1" applyAlignment="1">
      <alignment horizontal="right"/>
    </xf>
    <xf numFmtId="0" fontId="22" fillId="0" borderId="0" xfId="0" applyFont="1" applyFill="1" applyAlignment="1">
      <alignment horizontal="center"/>
    </xf>
    <xf numFmtId="0" fontId="34" fillId="0" borderId="0" xfId="0" applyFont="1" applyFill="1" applyAlignment="1">
      <alignment horizontal="center"/>
    </xf>
    <xf numFmtId="0" fontId="59" fillId="0" borderId="0" xfId="3" applyFont="1" applyFill="1" applyAlignment="1">
      <alignment horizontal="center"/>
    </xf>
    <xf numFmtId="0" fontId="57" fillId="0" borderId="0" xfId="0" applyFont="1" applyFill="1" applyAlignment="1">
      <alignment horizontal="center"/>
    </xf>
    <xf numFmtId="2" fontId="7" fillId="12" borderId="20" xfId="0" applyNumberFormat="1" applyFont="1" applyFill="1" applyBorder="1" applyAlignment="1">
      <alignment horizontal="right"/>
    </xf>
    <xf numFmtId="2" fontId="7" fillId="12" borderId="1" xfId="0" applyNumberFormat="1" applyFont="1" applyFill="1" applyBorder="1" applyAlignment="1">
      <alignment horizontal="right"/>
    </xf>
    <xf numFmtId="10" fontId="24" fillId="0" borderId="26" xfId="0" applyNumberFormat="1" applyFont="1" applyBorder="1"/>
    <xf numFmtId="4" fontId="24" fillId="0" borderId="55" xfId="0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4" fontId="10" fillId="0" borderId="0" xfId="0" quotePrefix="1" applyNumberFormat="1" applyFont="1" applyAlignment="1">
      <alignment horizontal="left"/>
    </xf>
    <xf numFmtId="14" fontId="79" fillId="0" borderId="0" xfId="0" applyNumberFormat="1" applyFont="1"/>
    <xf numFmtId="0" fontId="79" fillId="10" borderId="0" xfId="0" applyFont="1" applyFill="1"/>
    <xf numFmtId="0" fontId="79" fillId="10" borderId="0" xfId="0" applyFont="1" applyFill="1" applyAlignment="1">
      <alignment horizontal="center"/>
    </xf>
    <xf numFmtId="44" fontId="80" fillId="10" borderId="0" xfId="2" applyFont="1" applyFill="1"/>
    <xf numFmtId="44" fontId="80" fillId="0" borderId="0" xfId="0" applyNumberFormat="1" applyFont="1"/>
    <xf numFmtId="44" fontId="79" fillId="0" borderId="0" xfId="2" applyFont="1"/>
    <xf numFmtId="0" fontId="8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4" fontId="8" fillId="0" borderId="0" xfId="2" applyFont="1" applyFill="1" applyAlignment="1">
      <alignment horizontal="right"/>
    </xf>
    <xf numFmtId="170" fontId="7" fillId="0" borderId="0" xfId="2" applyNumberFormat="1" applyFont="1" applyFill="1"/>
    <xf numFmtId="170" fontId="8" fillId="0" borderId="0" xfId="2" applyNumberFormat="1" applyFont="1" applyFill="1"/>
    <xf numFmtId="170" fontId="8" fillId="0" borderId="0" xfId="2" applyNumberFormat="1" applyFont="1" applyFill="1" applyBorder="1"/>
    <xf numFmtId="0" fontId="8" fillId="0" borderId="0" xfId="2" applyNumberFormat="1" applyFont="1" applyFill="1"/>
    <xf numFmtId="44" fontId="8" fillId="0" borderId="0" xfId="2" applyFont="1" applyFill="1"/>
    <xf numFmtId="170" fontId="59" fillId="0" borderId="0" xfId="2" applyNumberFormat="1" applyFont="1" applyFill="1"/>
    <xf numFmtId="173" fontId="7" fillId="0" borderId="0" xfId="0" applyNumberFormat="1" applyFont="1" applyFill="1"/>
    <xf numFmtId="0" fontId="8" fillId="0" borderId="0" xfId="0" applyFont="1" applyAlignment="1">
      <alignment horizontal="center"/>
    </xf>
    <xf numFmtId="0" fontId="7" fillId="12" borderId="0" xfId="9" applyFont="1" applyFill="1" applyBorder="1" applyAlignment="1">
      <alignment horizontal="center"/>
    </xf>
    <xf numFmtId="0" fontId="13" fillId="0" borderId="0" xfId="9" applyFont="1" applyBorder="1" applyAlignment="1">
      <alignment horizontal="right"/>
    </xf>
    <xf numFmtId="14" fontId="13" fillId="0" borderId="0" xfId="9" applyNumberFormat="1" applyFont="1" applyBorder="1"/>
    <xf numFmtId="3" fontId="7" fillId="33" borderId="56" xfId="0" applyNumberFormat="1" applyFont="1" applyFill="1" applyBorder="1"/>
    <xf numFmtId="0" fontId="20" fillId="33" borderId="19" xfId="0" applyFont="1" applyFill="1" applyBorder="1"/>
    <xf numFmtId="0" fontId="25" fillId="16" borderId="18" xfId="0" applyFont="1" applyFill="1" applyBorder="1"/>
    <xf numFmtId="0" fontId="103" fillId="0" borderId="0" xfId="0" applyFont="1"/>
    <xf numFmtId="49" fontId="0" fillId="40" borderId="1" xfId="0" applyNumberFormat="1" applyFill="1" applyBorder="1"/>
    <xf numFmtId="0" fontId="1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04" fillId="0" borderId="0" xfId="0" applyFont="1"/>
    <xf numFmtId="0" fontId="105" fillId="0" borderId="0" xfId="0" applyFont="1"/>
    <xf numFmtId="9" fontId="7" fillId="12" borderId="52" xfId="0" applyNumberFormat="1" applyFont="1" applyFill="1" applyBorder="1" applyAlignment="1">
      <alignment horizontal="center" wrapText="1"/>
    </xf>
    <xf numFmtId="0" fontId="105" fillId="0" borderId="0" xfId="0" applyFont="1" applyAlignment="1">
      <alignment horizontal="right"/>
    </xf>
    <xf numFmtId="44" fontId="59" fillId="0" borderId="0" xfId="0" applyNumberFormat="1" applyFont="1"/>
    <xf numFmtId="3" fontId="59" fillId="0" borderId="0" xfId="0" applyNumberFormat="1" applyFont="1" applyFill="1" applyAlignment="1"/>
    <xf numFmtId="10" fontId="8" fillId="0" borderId="0" xfId="6" applyNumberFormat="1" applyFont="1" applyFill="1" applyBorder="1" applyAlignment="1">
      <alignment horizontal="right"/>
    </xf>
    <xf numFmtId="10" fontId="20" fillId="0" borderId="0" xfId="6" applyNumberFormat="1" applyFont="1" applyFill="1" applyBorder="1"/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right"/>
    </xf>
    <xf numFmtId="4" fontId="7" fillId="0" borderId="0" xfId="0" applyNumberFormat="1" applyFont="1" applyFill="1"/>
    <xf numFmtId="0" fontId="79" fillId="0" borderId="0" xfId="0" applyFont="1" applyFill="1"/>
    <xf numFmtId="14" fontId="79" fillId="0" borderId="0" xfId="0" applyNumberFormat="1" applyFont="1" applyFill="1"/>
    <xf numFmtId="0" fontId="106" fillId="0" borderId="0" xfId="0" applyFont="1" applyAlignment="1">
      <alignment horizontal="right"/>
    </xf>
    <xf numFmtId="3" fontId="107" fillId="0" borderId="0" xfId="2" applyNumberFormat="1" applyFont="1" applyBorder="1" applyAlignment="1">
      <alignment horizontal="right"/>
    </xf>
    <xf numFmtId="44" fontId="0" fillId="0" borderId="0" xfId="2" applyFont="1"/>
    <xf numFmtId="9" fontId="0" fillId="0" borderId="0" xfId="6" applyFont="1"/>
    <xf numFmtId="44" fontId="108" fillId="0" borderId="0" xfId="2" applyFont="1" applyFill="1" applyBorder="1"/>
    <xf numFmtId="0" fontId="104" fillId="0" borderId="0" xfId="0" applyNumberFormat="1" applyFont="1"/>
    <xf numFmtId="44" fontId="104" fillId="0" borderId="0" xfId="0" applyNumberFormat="1" applyFont="1"/>
    <xf numFmtId="0" fontId="104" fillId="0" borderId="0" xfId="0" applyNumberFormat="1" applyFont="1" applyAlignment="1">
      <alignment horizontal="center"/>
    </xf>
    <xf numFmtId="3" fontId="74" fillId="0" borderId="0" xfId="0" applyNumberFormat="1" applyFont="1" applyFill="1" applyAlignment="1">
      <alignment horizontal="center"/>
    </xf>
    <xf numFmtId="10" fontId="75" fillId="0" borderId="0" xfId="0" applyNumberFormat="1" applyFont="1" applyFill="1" applyAlignment="1">
      <alignment horizontal="right"/>
    </xf>
    <xf numFmtId="0" fontId="8" fillId="0" borderId="0" xfId="0" applyFont="1" applyAlignment="1">
      <alignment horizontal="center"/>
    </xf>
    <xf numFmtId="0" fontId="12" fillId="28" borderId="0" xfId="0" applyFont="1" applyFill="1" applyAlignment="1">
      <alignment horizontal="center" vertical="center" wrapText="1"/>
    </xf>
    <xf numFmtId="0" fontId="8" fillId="41" borderId="0" xfId="0" applyFont="1" applyFill="1" applyAlignment="1">
      <alignment horizontal="center" vertical="center" wrapText="1"/>
    </xf>
    <xf numFmtId="0" fontId="109" fillId="0" borderId="0" xfId="0" applyFont="1"/>
    <xf numFmtId="0" fontId="89" fillId="0" borderId="0" xfId="0" applyFont="1" applyFill="1" applyBorder="1" applyAlignment="1">
      <alignment horizontal="left" vertical="center"/>
    </xf>
    <xf numFmtId="0" fontId="89" fillId="0" borderId="0" xfId="0" applyFont="1" applyFill="1" applyBorder="1" applyAlignment="1">
      <alignment horizontal="center" vertical="center" wrapText="1"/>
    </xf>
    <xf numFmtId="44" fontId="7" fillId="0" borderId="0" xfId="2" applyFont="1" applyFill="1" applyBorder="1"/>
    <xf numFmtId="10" fontId="7" fillId="0" borderId="0" xfId="6" applyNumberFormat="1" applyFont="1"/>
    <xf numFmtId="0" fontId="8" fillId="23" borderId="1" xfId="0" applyFont="1" applyFill="1" applyBorder="1"/>
    <xf numFmtId="0" fontId="7" fillId="23" borderId="1" xfId="0" applyFont="1" applyFill="1" applyBorder="1" applyAlignment="1">
      <alignment horizontal="center"/>
    </xf>
    <xf numFmtId="0" fontId="8" fillId="23" borderId="1" xfId="0" applyFont="1" applyFill="1" applyBorder="1" applyAlignment="1">
      <alignment horizontal="center"/>
    </xf>
    <xf numFmtId="10" fontId="7" fillId="23" borderId="1" xfId="6" applyNumberFormat="1" applyFont="1" applyFill="1" applyBorder="1" applyAlignment="1">
      <alignment horizontal="center"/>
    </xf>
    <xf numFmtId="3" fontId="8" fillId="23" borderId="1" xfId="0" applyNumberFormat="1" applyFont="1" applyFill="1" applyBorder="1" applyAlignment="1">
      <alignment horizontal="right"/>
    </xf>
    <xf numFmtId="10" fontId="7" fillId="0" borderId="1" xfId="6" applyNumberFormat="1" applyFont="1" applyBorder="1" applyAlignment="1">
      <alignment horizontal="center"/>
    </xf>
    <xf numFmtId="170" fontId="109" fillId="0" borderId="0" xfId="2" applyNumberFormat="1" applyFont="1" applyFill="1"/>
    <xf numFmtId="3" fontId="8" fillId="0" borderId="1" xfId="0" applyNumberFormat="1" applyFont="1" applyFill="1" applyBorder="1" applyAlignment="1">
      <alignment horizontal="right"/>
    </xf>
    <xf numFmtId="4" fontId="10" fillId="13" borderId="1" xfId="0" applyNumberFormat="1" applyFont="1" applyFill="1" applyBorder="1" applyAlignment="1">
      <alignment horizontal="right"/>
    </xf>
    <xf numFmtId="3" fontId="9" fillId="13" borderId="1" xfId="0" applyNumberFormat="1" applyFont="1" applyFill="1" applyBorder="1" applyAlignment="1">
      <alignment horizontal="right"/>
    </xf>
    <xf numFmtId="3" fontId="39" fillId="0" borderId="0" xfId="0" applyNumberFormat="1" applyFont="1" applyFill="1" applyBorder="1" applyAlignment="1">
      <alignment horizontal="right"/>
    </xf>
    <xf numFmtId="0" fontId="8" fillId="12" borderId="3" xfId="0" applyFont="1" applyFill="1" applyBorder="1" applyAlignment="1">
      <alignment horizontal="right"/>
    </xf>
    <xf numFmtId="3" fontId="8" fillId="0" borderId="13" xfId="2" applyNumberFormat="1" applyFont="1" applyBorder="1"/>
    <xf numFmtId="3" fontId="8" fillId="0" borderId="14" xfId="2" applyNumberFormat="1" applyFont="1" applyBorder="1"/>
    <xf numFmtId="3" fontId="8" fillId="0" borderId="7" xfId="2" applyNumberFormat="1" applyFont="1" applyBorder="1"/>
    <xf numFmtId="3" fontId="8" fillId="0" borderId="20" xfId="2" applyNumberFormat="1" applyFont="1" applyBorder="1"/>
    <xf numFmtId="3" fontId="8" fillId="0" borderId="18" xfId="2" applyNumberFormat="1" applyFont="1" applyBorder="1"/>
    <xf numFmtId="3" fontId="7" fillId="12" borderId="1" xfId="2" applyNumberFormat="1" applyFont="1" applyFill="1" applyBorder="1"/>
    <xf numFmtId="3" fontId="7" fillId="12" borderId="1" xfId="0" applyNumberFormat="1" applyFont="1" applyFill="1" applyBorder="1"/>
    <xf numFmtId="3" fontId="8" fillId="0" borderId="10" xfId="2" applyNumberFormat="1" applyFont="1" applyBorder="1"/>
    <xf numFmtId="0" fontId="8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" fontId="9" fillId="0" borderId="0" xfId="0" applyNumberFormat="1" applyFont="1" applyFill="1" applyBorder="1" applyAlignment="1">
      <alignment horizontal="right"/>
    </xf>
    <xf numFmtId="4" fontId="99" fillId="0" borderId="0" xfId="0" applyNumberFormat="1" applyFont="1" applyFill="1" applyBorder="1"/>
    <xf numFmtId="4" fontId="9" fillId="0" borderId="39" xfId="0" applyNumberFormat="1" applyFont="1" applyFill="1" applyBorder="1" applyAlignment="1">
      <alignment horizontal="right"/>
    </xf>
    <xf numFmtId="0" fontId="20" fillId="17" borderId="0" xfId="0" applyFont="1" applyFill="1" applyAlignment="1">
      <alignment horizontal="right"/>
    </xf>
    <xf numFmtId="4" fontId="110" fillId="17" borderId="39" xfId="0" applyNumberFormat="1" applyFont="1" applyFill="1" applyBorder="1"/>
    <xf numFmtId="4" fontId="9" fillId="33" borderId="2" xfId="0" applyNumberFormat="1" applyFont="1" applyFill="1" applyBorder="1" applyAlignment="1">
      <alignment horizontal="right"/>
    </xf>
    <xf numFmtId="4" fontId="99" fillId="33" borderId="2" xfId="0" applyNumberFormat="1" applyFont="1" applyFill="1" applyBorder="1"/>
    <xf numFmtId="4" fontId="110" fillId="16" borderId="2" xfId="0" applyNumberFormat="1" applyFont="1" applyFill="1" applyBorder="1"/>
    <xf numFmtId="4" fontId="111" fillId="0" borderId="0" xfId="0" applyNumberFormat="1" applyFont="1" applyFill="1" applyBorder="1"/>
    <xf numFmtId="49" fontId="0" fillId="0" borderId="1" xfId="0" applyNumberFormat="1" applyBorder="1"/>
    <xf numFmtId="4" fontId="20" fillId="0" borderId="0" xfId="0" applyNumberFormat="1" applyFont="1"/>
    <xf numFmtId="0" fontId="8" fillId="20" borderId="0" xfId="0" applyFont="1" applyFill="1" applyBorder="1" applyAlignment="1">
      <alignment horizontal="right"/>
    </xf>
    <xf numFmtId="3" fontId="7" fillId="20" borderId="1" xfId="2" applyNumberFormat="1" applyFont="1" applyFill="1" applyBorder="1"/>
    <xf numFmtId="3" fontId="8" fillId="20" borderId="1" xfId="2" applyNumberFormat="1" applyFont="1" applyFill="1" applyBorder="1"/>
    <xf numFmtId="3" fontId="7" fillId="20" borderId="1" xfId="0" applyNumberFormat="1" applyFont="1" applyFill="1" applyBorder="1"/>
    <xf numFmtId="171" fontId="7" fillId="0" borderId="0" xfId="0" applyNumberFormat="1" applyFont="1"/>
    <xf numFmtId="0" fontId="7" fillId="0" borderId="0" xfId="0" applyFont="1" applyBorder="1" applyAlignment="1">
      <alignment horizontal="center"/>
    </xf>
    <xf numFmtId="3" fontId="57" fillId="0" borderId="0" xfId="0" applyNumberFormat="1" applyFont="1" applyFill="1"/>
    <xf numFmtId="0" fontId="8" fillId="0" borderId="1" xfId="0" applyFont="1" applyFill="1" applyBorder="1" applyAlignment="1">
      <alignment horizontal="center"/>
    </xf>
    <xf numFmtId="0" fontId="7" fillId="13" borderId="14" xfId="0" applyFont="1" applyFill="1" applyBorder="1"/>
    <xf numFmtId="44" fontId="8" fillId="13" borderId="15" xfId="2" applyFont="1" applyFill="1" applyBorder="1" applyAlignment="1">
      <alignment horizontal="right"/>
    </xf>
    <xf numFmtId="0" fontId="7" fillId="13" borderId="16" xfId="0" applyFont="1" applyFill="1" applyBorder="1"/>
    <xf numFmtId="0" fontId="8" fillId="13" borderId="17" xfId="2" applyNumberFormat="1" applyFont="1" applyFill="1" applyBorder="1"/>
    <xf numFmtId="170" fontId="8" fillId="13" borderId="17" xfId="2" applyNumberFormat="1" applyFont="1" applyFill="1" applyBorder="1"/>
    <xf numFmtId="0" fontId="7" fillId="13" borderId="18" xfId="0" applyFont="1" applyFill="1" applyBorder="1"/>
    <xf numFmtId="170" fontId="8" fillId="13" borderId="21" xfId="2" applyNumberFormat="1" applyFont="1" applyFill="1" applyBorder="1"/>
    <xf numFmtId="170" fontId="8" fillId="0" borderId="7" xfId="0" applyNumberFormat="1" applyFont="1" applyBorder="1"/>
    <xf numFmtId="170" fontId="7" fillId="13" borderId="17" xfId="2" applyNumberFormat="1" applyFont="1" applyFill="1" applyBorder="1"/>
    <xf numFmtId="44" fontId="7" fillId="13" borderId="21" xfId="2" applyFont="1" applyFill="1" applyBorder="1"/>
    <xf numFmtId="170" fontId="8" fillId="13" borderId="48" xfId="2" applyNumberFormat="1" applyFont="1" applyFill="1" applyBorder="1"/>
    <xf numFmtId="0" fontId="7" fillId="13" borderId="14" xfId="0" applyFont="1" applyFill="1" applyBorder="1" applyAlignment="1">
      <alignment horizontal="right"/>
    </xf>
    <xf numFmtId="170" fontId="7" fillId="13" borderId="15" xfId="2" applyNumberFormat="1" applyFont="1" applyFill="1" applyBorder="1"/>
    <xf numFmtId="0" fontId="7" fillId="13" borderId="16" xfId="0" applyFont="1" applyFill="1" applyBorder="1" applyAlignment="1">
      <alignment horizontal="right"/>
    </xf>
    <xf numFmtId="170" fontId="59" fillId="13" borderId="17" xfId="2" applyNumberFormat="1" applyFont="1" applyFill="1" applyBorder="1"/>
    <xf numFmtId="0" fontId="7" fillId="13" borderId="18" xfId="0" applyFont="1" applyFill="1" applyBorder="1" applyAlignment="1">
      <alignment horizontal="right"/>
    </xf>
    <xf numFmtId="0" fontId="113" fillId="0" borderId="0" xfId="0" applyFont="1" applyAlignment="1">
      <alignment horizontal="left"/>
    </xf>
    <xf numFmtId="0" fontId="75" fillId="0" borderId="0" xfId="0" applyFont="1" applyFill="1" applyAlignment="1">
      <alignment horizontal="right"/>
    </xf>
    <xf numFmtId="3" fontId="8" fillId="0" borderId="0" xfId="0" applyNumberFormat="1" applyFont="1" applyFill="1"/>
    <xf numFmtId="4" fontId="77" fillId="0" borderId="0" xfId="0" applyNumberFormat="1" applyFont="1" applyFill="1" applyBorder="1" applyAlignment="1">
      <alignment horizontal="right"/>
    </xf>
    <xf numFmtId="44" fontId="7" fillId="0" borderId="0" xfId="2" applyFont="1"/>
    <xf numFmtId="10" fontId="59" fillId="0" borderId="0" xfId="6" applyNumberFormat="1" applyFont="1"/>
    <xf numFmtId="0" fontId="77" fillId="0" borderId="0" xfId="0" applyFont="1" applyFill="1" applyBorder="1" applyAlignment="1">
      <alignment horizontal="center" vertical="center"/>
    </xf>
    <xf numFmtId="44" fontId="59" fillId="0" borderId="0" xfId="2" applyFont="1" applyFill="1" applyBorder="1"/>
    <xf numFmtId="44" fontId="59" fillId="0" borderId="0" xfId="2" applyFont="1"/>
    <xf numFmtId="9" fontId="59" fillId="0" borderId="0" xfId="6" applyFont="1"/>
    <xf numFmtId="10" fontId="7" fillId="0" borderId="0" xfId="6" applyNumberFormat="1" applyFont="1" applyFill="1" applyBorder="1"/>
    <xf numFmtId="0" fontId="99" fillId="0" borderId="0" xfId="0" applyFont="1" applyAlignment="1">
      <alignment horizontal="center"/>
    </xf>
    <xf numFmtId="9" fontId="114" fillId="0" borderId="0" xfId="6" applyFont="1"/>
    <xf numFmtId="44" fontId="7" fillId="0" borderId="0" xfId="0" applyNumberFormat="1" applyFont="1" applyFill="1" applyBorder="1"/>
    <xf numFmtId="1" fontId="115" fillId="0" borderId="0" xfId="0" applyNumberFormat="1" applyFont="1"/>
    <xf numFmtId="3" fontId="7" fillId="13" borderId="41" xfId="0" applyNumberFormat="1" applyFont="1" applyFill="1" applyBorder="1" applyAlignment="1">
      <alignment horizontal="center"/>
    </xf>
    <xf numFmtId="3" fontId="7" fillId="13" borderId="1" xfId="0" applyNumberFormat="1" applyFont="1" applyFill="1" applyBorder="1" applyAlignment="1">
      <alignment horizontal="center"/>
    </xf>
    <xf numFmtId="3" fontId="7" fillId="13" borderId="3" xfId="0" applyNumberFormat="1" applyFont="1" applyFill="1" applyBorder="1" applyAlignment="1">
      <alignment horizontal="center"/>
    </xf>
    <xf numFmtId="3" fontId="7" fillId="13" borderId="42" xfId="0" applyNumberFormat="1" applyFont="1" applyFill="1" applyBorder="1" applyAlignment="1">
      <alignment horizontal="center"/>
    </xf>
    <xf numFmtId="3" fontId="7" fillId="0" borderId="1" xfId="0" applyNumberFormat="1" applyFont="1" applyFill="1" applyBorder="1" applyAlignment="1"/>
    <xf numFmtId="44" fontId="7" fillId="12" borderId="0" xfId="2" applyFont="1" applyFill="1" applyBorder="1" applyAlignment="1">
      <alignment horizontal="center"/>
    </xf>
    <xf numFmtId="44" fontId="7" fillId="12" borderId="0" xfId="2" applyFont="1" applyFill="1" applyBorder="1"/>
    <xf numFmtId="44" fontId="7" fillId="12" borderId="0" xfId="2" applyFont="1" applyFill="1" applyBorder="1" applyAlignment="1">
      <alignment horizontal="left"/>
    </xf>
    <xf numFmtId="44" fontId="12" fillId="37" borderId="0" xfId="0" applyNumberFormat="1" applyFont="1" applyFill="1" applyBorder="1"/>
    <xf numFmtId="10" fontId="69" fillId="0" borderId="20" xfId="0" applyNumberFormat="1" applyFont="1" applyFill="1" applyBorder="1"/>
    <xf numFmtId="10" fontId="23" fillId="0" borderId="20" xfId="0" applyNumberFormat="1" applyFont="1" applyFill="1" applyBorder="1" applyAlignment="1">
      <alignment horizontal="right"/>
    </xf>
    <xf numFmtId="0" fontId="8" fillId="12" borderId="0" xfId="0" applyFont="1" applyFill="1"/>
    <xf numFmtId="3" fontId="7" fillId="12" borderId="38" xfId="0" applyNumberFormat="1" applyFont="1" applyFill="1" applyBorder="1" applyAlignment="1">
      <alignment horizontal="center"/>
    </xf>
    <xf numFmtId="3" fontId="7" fillId="12" borderId="39" xfId="0" applyNumberFormat="1" applyFont="1" applyFill="1" applyBorder="1" applyAlignment="1">
      <alignment horizontal="center"/>
    </xf>
    <xf numFmtId="3" fontId="7" fillId="12" borderId="57" xfId="0" applyNumberFormat="1" applyFont="1" applyFill="1" applyBorder="1" applyAlignment="1">
      <alignment horizontal="center"/>
    </xf>
    <xf numFmtId="3" fontId="7" fillId="12" borderId="40" xfId="0" applyNumberFormat="1" applyFont="1" applyFill="1" applyBorder="1" applyAlignment="1">
      <alignment horizontal="center"/>
    </xf>
    <xf numFmtId="3" fontId="7" fillId="12" borderId="41" xfId="0" applyNumberFormat="1" applyFont="1" applyFill="1" applyBorder="1" applyAlignment="1">
      <alignment horizontal="center"/>
    </xf>
    <xf numFmtId="3" fontId="7" fillId="12" borderId="1" xfId="0" applyNumberFormat="1" applyFont="1" applyFill="1" applyBorder="1" applyAlignment="1">
      <alignment horizontal="center"/>
    </xf>
    <xf numFmtId="3" fontId="7" fillId="12" borderId="3" xfId="0" applyNumberFormat="1" applyFont="1" applyFill="1" applyBorder="1" applyAlignment="1">
      <alignment horizontal="center"/>
    </xf>
    <xf numFmtId="3" fontId="7" fillId="12" borderId="42" xfId="0" applyNumberFormat="1" applyFont="1" applyFill="1" applyBorder="1" applyAlignment="1">
      <alignment horizontal="center"/>
    </xf>
    <xf numFmtId="3" fontId="7" fillId="12" borderId="49" xfId="0" applyNumberFormat="1" applyFont="1" applyFill="1" applyBorder="1" applyAlignment="1">
      <alignment horizontal="center"/>
    </xf>
    <xf numFmtId="3" fontId="7" fillId="12" borderId="13" xfId="0" applyNumberFormat="1" applyFont="1" applyFill="1" applyBorder="1" applyAlignment="1">
      <alignment horizontal="center"/>
    </xf>
    <xf numFmtId="3" fontId="7" fillId="12" borderId="14" xfId="0" applyNumberFormat="1" applyFont="1" applyFill="1" applyBorder="1" applyAlignment="1">
      <alignment horizontal="center"/>
    </xf>
    <xf numFmtId="3" fontId="7" fillId="12" borderId="43" xfId="0" applyNumberFormat="1" applyFont="1" applyFill="1" applyBorder="1" applyAlignment="1">
      <alignment horizontal="center"/>
    </xf>
    <xf numFmtId="3" fontId="7" fillId="12" borderId="44" xfId="0" applyNumberFormat="1" applyFont="1" applyFill="1" applyBorder="1" applyAlignment="1">
      <alignment horizontal="center"/>
    </xf>
    <xf numFmtId="3" fontId="7" fillId="12" borderId="58" xfId="0" applyNumberFormat="1" applyFont="1" applyFill="1" applyBorder="1" applyAlignment="1">
      <alignment horizontal="center"/>
    </xf>
    <xf numFmtId="3" fontId="7" fillId="12" borderId="45" xfId="0" applyNumberFormat="1" applyFont="1" applyFill="1" applyBorder="1" applyAlignment="1">
      <alignment horizontal="center"/>
    </xf>
    <xf numFmtId="3" fontId="9" fillId="12" borderId="1" xfId="0" applyNumberFormat="1" applyFont="1" applyFill="1" applyBorder="1" applyAlignment="1">
      <alignment horizontal="right"/>
    </xf>
    <xf numFmtId="0" fontId="8" fillId="12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4" fontId="59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16" fillId="0" borderId="0" xfId="0" applyFont="1"/>
    <xf numFmtId="0" fontId="7" fillId="44" borderId="0" xfId="0" applyFont="1" applyFill="1"/>
    <xf numFmtId="3" fontId="7" fillId="44" borderId="0" xfId="0" applyNumberFormat="1" applyFont="1" applyFill="1" applyAlignment="1">
      <alignment horizontal="center"/>
    </xf>
    <xf numFmtId="0" fontId="7" fillId="33" borderId="20" xfId="13" applyFont="1" applyFill="1" applyBorder="1"/>
    <xf numFmtId="0" fontId="7" fillId="33" borderId="18" xfId="0" applyFont="1" applyFill="1" applyBorder="1"/>
    <xf numFmtId="0" fontId="7" fillId="0" borderId="58" xfId="0" applyFont="1" applyBorder="1"/>
    <xf numFmtId="0" fontId="7" fillId="33" borderId="50" xfId="13" applyFont="1" applyFill="1" applyBorder="1"/>
    <xf numFmtId="0" fontId="8" fillId="0" borderId="0" xfId="14" applyFont="1" applyBorder="1" applyAlignment="1">
      <alignment horizontal="center"/>
    </xf>
    <xf numFmtId="0" fontId="8" fillId="0" borderId="0" xfId="14" applyFont="1" applyAlignment="1">
      <alignment horizontal="center"/>
    </xf>
    <xf numFmtId="0" fontId="7" fillId="12" borderId="0" xfId="13" applyFont="1" applyFill="1" applyAlignment="1">
      <alignment horizontal="center"/>
    </xf>
    <xf numFmtId="0" fontId="13" fillId="0" borderId="0" xfId="13" applyFont="1" applyAlignment="1">
      <alignment horizontal="right"/>
    </xf>
    <xf numFmtId="14" fontId="13" fillId="0" borderId="0" xfId="13" applyNumberFormat="1" applyFont="1"/>
    <xf numFmtId="0" fontId="7" fillId="33" borderId="41" xfId="13" applyFont="1" applyFill="1" applyBorder="1"/>
    <xf numFmtId="0" fontId="7" fillId="33" borderId="1" xfId="13" applyFont="1" applyFill="1" applyBorder="1"/>
    <xf numFmtId="0" fontId="7" fillId="33" borderId="3" xfId="0" applyFont="1" applyFill="1" applyBorder="1"/>
    <xf numFmtId="0" fontId="7" fillId="33" borderId="43" xfId="13" applyFont="1" applyFill="1" applyBorder="1"/>
    <xf numFmtId="0" fontId="7" fillId="33" borderId="44" xfId="13" applyFont="1" applyFill="1" applyBorder="1"/>
    <xf numFmtId="0" fontId="7" fillId="33" borderId="58" xfId="0" applyFont="1" applyFill="1" applyBorder="1"/>
    <xf numFmtId="0" fontId="40" fillId="16" borderId="0" xfId="0" applyFont="1" applyFill="1" applyBorder="1"/>
    <xf numFmtId="0" fontId="7" fillId="33" borderId="1" xfId="14" applyFont="1" applyFill="1" applyBorder="1" applyAlignment="1">
      <alignment horizontal="center"/>
    </xf>
    <xf numFmtId="0" fontId="25" fillId="16" borderId="0" xfId="0" applyFont="1" applyFill="1" applyBorder="1"/>
    <xf numFmtId="0" fontId="20" fillId="16" borderId="0" xfId="0" applyFont="1" applyFill="1" applyBorder="1"/>
    <xf numFmtId="0" fontId="40" fillId="16" borderId="15" xfId="0" applyFont="1" applyFill="1" applyBorder="1"/>
    <xf numFmtId="3" fontId="60" fillId="0" borderId="0" xfId="0" applyNumberFormat="1" applyFont="1" applyFill="1" applyAlignment="1">
      <alignment horizontal="center"/>
    </xf>
    <xf numFmtId="3" fontId="60" fillId="0" borderId="0" xfId="0" applyNumberFormat="1" applyFont="1" applyFill="1" applyBorder="1" applyAlignment="1">
      <alignment horizontal="center"/>
    </xf>
    <xf numFmtId="14" fontId="79" fillId="17" borderId="0" xfId="0" applyNumberFormat="1" applyFont="1" applyFill="1"/>
    <xf numFmtId="0" fontId="116" fillId="0" borderId="0" xfId="0" applyFont="1"/>
    <xf numFmtId="0" fontId="117" fillId="43" borderId="0" xfId="0" applyFont="1" applyFill="1"/>
    <xf numFmtId="0" fontId="118" fillId="0" borderId="0" xfId="0" applyFont="1"/>
    <xf numFmtId="0" fontId="119" fillId="0" borderId="0" xfId="0" applyFont="1"/>
    <xf numFmtId="0" fontId="8" fillId="0" borderId="0" xfId="0" applyFont="1" applyFill="1" applyAlignment="1">
      <alignment horizontal="left"/>
    </xf>
    <xf numFmtId="0" fontId="121" fillId="0" borderId="0" xfId="0" applyFont="1" applyFill="1"/>
    <xf numFmtId="3" fontId="75" fillId="0" borderId="0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center"/>
    </xf>
    <xf numFmtId="3" fontId="24" fillId="0" borderId="0" xfId="0" applyNumberFormat="1" applyFont="1" applyFill="1" applyAlignment="1">
      <alignment horizontal="right"/>
    </xf>
    <xf numFmtId="3" fontId="24" fillId="12" borderId="20" xfId="0" applyNumberFormat="1" applyFont="1" applyFill="1" applyBorder="1" applyAlignment="1"/>
    <xf numFmtId="0" fontId="122" fillId="0" borderId="0" xfId="0" applyFont="1"/>
    <xf numFmtId="49" fontId="124" fillId="0" borderId="1" xfId="0" applyNumberFormat="1" applyFont="1" applyBorder="1"/>
    <xf numFmtId="0" fontId="116" fillId="0" borderId="1" xfId="0" applyFont="1" applyBorder="1"/>
    <xf numFmtId="3" fontId="13" fillId="0" borderId="1" xfId="0" applyNumberFormat="1" applyFont="1" applyBorder="1"/>
    <xf numFmtId="49" fontId="124" fillId="0" borderId="0" xfId="0" applyNumberFormat="1" applyFont="1"/>
    <xf numFmtId="0" fontId="13" fillId="0" borderId="1" xfId="0" applyFont="1" applyBorder="1"/>
    <xf numFmtId="0" fontId="125" fillId="0" borderId="0" xfId="0" applyFont="1"/>
    <xf numFmtId="3" fontId="8" fillId="0" borderId="2" xfId="0" applyNumberFormat="1" applyFont="1" applyFill="1" applyBorder="1"/>
    <xf numFmtId="3" fontId="7" fillId="0" borderId="13" xfId="0" applyNumberFormat="1" applyFont="1" applyBorder="1" applyAlignment="1">
      <alignment horizontal="right"/>
    </xf>
    <xf numFmtId="3" fontId="7" fillId="0" borderId="13" xfId="0" applyNumberFormat="1" applyFont="1" applyBorder="1"/>
    <xf numFmtId="3" fontId="8" fillId="0" borderId="15" xfId="0" applyNumberFormat="1" applyFont="1" applyBorder="1" applyAlignment="1">
      <alignment horizontal="right"/>
    </xf>
    <xf numFmtId="10" fontId="60" fillId="0" borderId="20" xfId="0" applyNumberFormat="1" applyFont="1" applyBorder="1"/>
    <xf numFmtId="10" fontId="7" fillId="12" borderId="40" xfId="6" applyNumberFormat="1" applyFont="1" applyFill="1" applyBorder="1"/>
    <xf numFmtId="10" fontId="7" fillId="12" borderId="42" xfId="6" applyNumberFormat="1" applyFont="1" applyFill="1" applyBorder="1"/>
    <xf numFmtId="10" fontId="7" fillId="0" borderId="45" xfId="0" applyNumberFormat="1" applyFont="1" applyBorder="1"/>
    <xf numFmtId="10" fontId="7" fillId="12" borderId="45" xfId="6" applyNumberFormat="1" applyFont="1" applyFill="1" applyBorder="1"/>
    <xf numFmtId="3" fontId="77" fillId="0" borderId="1" xfId="0" applyNumberFormat="1" applyFont="1" applyFill="1" applyBorder="1" applyAlignment="1"/>
    <xf numFmtId="3" fontId="77" fillId="0" borderId="13" xfId="0" applyNumberFormat="1" applyFont="1" applyFill="1" applyBorder="1" applyAlignment="1"/>
    <xf numFmtId="3" fontId="8" fillId="3" borderId="2" xfId="0" applyNumberFormat="1" applyFont="1" applyFill="1" applyBorder="1" applyAlignment="1">
      <alignment horizontal="right"/>
    </xf>
    <xf numFmtId="3" fontId="86" fillId="0" borderId="0" xfId="0" applyNumberFormat="1" applyFont="1" applyAlignment="1">
      <alignment horizontal="right"/>
    </xf>
    <xf numFmtId="3" fontId="7" fillId="0" borderId="1" xfId="0" applyNumberFormat="1" applyFont="1" applyFill="1" applyBorder="1" applyAlignment="1">
      <alignment horizontal="right"/>
    </xf>
    <xf numFmtId="3" fontId="7" fillId="0" borderId="2" xfId="0" applyNumberFormat="1" applyFont="1" applyFill="1" applyBorder="1" applyAlignment="1">
      <alignment horizontal="right"/>
    </xf>
    <xf numFmtId="3" fontId="97" fillId="0" borderId="0" xfId="0" applyNumberFormat="1" applyFont="1" applyFill="1" applyBorder="1"/>
    <xf numFmtId="3" fontId="59" fillId="0" borderId="0" xfId="0" applyNumberFormat="1" applyFont="1" applyFill="1" applyBorder="1" applyAlignment="1">
      <alignment horizontal="right"/>
    </xf>
    <xf numFmtId="3" fontId="69" fillId="0" borderId="13" xfId="0" applyNumberFormat="1" applyFont="1" applyBorder="1"/>
    <xf numFmtId="3" fontId="8" fillId="0" borderId="0" xfId="0" applyNumberFormat="1" applyFont="1" applyFill="1" applyBorder="1" applyAlignment="1">
      <alignment horizontal="center"/>
    </xf>
    <xf numFmtId="0" fontId="8" fillId="37" borderId="1" xfId="0" applyFont="1" applyFill="1" applyBorder="1" applyAlignment="1">
      <alignment horizontal="center" vertical="center" wrapText="1"/>
    </xf>
    <xf numFmtId="0" fontId="8" fillId="45" borderId="1" xfId="0" applyFont="1" applyFill="1" applyBorder="1" applyAlignment="1">
      <alignment horizontal="center" wrapText="1"/>
    </xf>
    <xf numFmtId="3" fontId="8" fillId="45" borderId="2" xfId="0" applyNumberFormat="1" applyFont="1" applyFill="1" applyBorder="1" applyAlignment="1">
      <alignment horizontal="right"/>
    </xf>
    <xf numFmtId="3" fontId="8" fillId="37" borderId="2" xfId="0" applyNumberFormat="1" applyFont="1" applyFill="1" applyBorder="1" applyAlignment="1">
      <alignment horizontal="right"/>
    </xf>
    <xf numFmtId="3" fontId="8" fillId="28" borderId="0" xfId="0" applyNumberFormat="1" applyFont="1" applyFill="1" applyBorder="1" applyAlignment="1"/>
    <xf numFmtId="0" fontId="7" fillId="28" borderId="0" xfId="0" applyFont="1" applyFill="1" applyAlignment="1">
      <alignment horizontal="center"/>
    </xf>
    <xf numFmtId="3" fontId="7" fillId="28" borderId="0" xfId="0" applyNumberFormat="1" applyFont="1" applyFill="1" applyAlignment="1">
      <alignment horizontal="center"/>
    </xf>
    <xf numFmtId="3" fontId="7" fillId="28" borderId="0" xfId="0" applyNumberFormat="1" applyFont="1" applyFill="1" applyBorder="1" applyAlignment="1"/>
    <xf numFmtId="9" fontId="10" fillId="0" borderId="0" xfId="6" applyFont="1" applyFill="1"/>
    <xf numFmtId="0" fontId="7" fillId="0" borderId="25" xfId="0" applyFont="1" applyFill="1" applyBorder="1" applyAlignment="1">
      <alignment horizontal="right"/>
    </xf>
    <xf numFmtId="0" fontId="7" fillId="0" borderId="0" xfId="15"/>
    <xf numFmtId="0" fontId="8" fillId="0" borderId="18" xfId="0" applyFont="1" applyFill="1" applyBorder="1" applyAlignment="1">
      <alignment horizontal="right"/>
    </xf>
    <xf numFmtId="0" fontId="7" fillId="0" borderId="0" xfId="15"/>
    <xf numFmtId="0" fontId="107" fillId="0" borderId="0" xfId="0" applyFont="1" applyFill="1" applyBorder="1"/>
    <xf numFmtId="9" fontId="107" fillId="0" borderId="0" xfId="6" applyFont="1" applyFill="1" applyBorder="1"/>
    <xf numFmtId="4" fontId="127" fillId="0" borderId="0" xfId="0" applyNumberFormat="1" applyFont="1"/>
    <xf numFmtId="0" fontId="8" fillId="44" borderId="0" xfId="0" applyFont="1" applyFill="1"/>
    <xf numFmtId="4" fontId="8" fillId="41" borderId="1" xfId="0" applyNumberFormat="1" applyFont="1" applyFill="1" applyBorder="1"/>
    <xf numFmtId="0" fontId="8" fillId="20" borderId="25" xfId="0" applyFont="1" applyFill="1" applyBorder="1"/>
    <xf numFmtId="4" fontId="18" fillId="20" borderId="25" xfId="0" applyNumberFormat="1" applyFont="1" applyFill="1" applyBorder="1" applyAlignment="1">
      <alignment horizontal="center"/>
    </xf>
    <xf numFmtId="10" fontId="18" fillId="20" borderId="25" xfId="0" applyNumberFormat="1" applyFont="1" applyFill="1" applyBorder="1" applyAlignment="1">
      <alignment horizontal="center"/>
    </xf>
    <xf numFmtId="0" fontId="128" fillId="34" borderId="0" xfId="0" applyFont="1" applyFill="1"/>
    <xf numFmtId="0" fontId="80" fillId="37" borderId="12" xfId="0" applyFont="1" applyFill="1" applyBorder="1"/>
    <xf numFmtId="0" fontId="0" fillId="37" borderId="12" xfId="0" applyFill="1" applyBorder="1"/>
    <xf numFmtId="0" fontId="129" fillId="0" borderId="0" xfId="0" applyFont="1"/>
    <xf numFmtId="0" fontId="0" fillId="17" borderId="0" xfId="0" applyFill="1"/>
    <xf numFmtId="3" fontId="130" fillId="0" borderId="0" xfId="0" applyNumberFormat="1" applyFont="1"/>
    <xf numFmtId="0" fontId="130" fillId="0" borderId="0" xfId="0" applyFont="1"/>
    <xf numFmtId="0" fontId="131" fillId="0" borderId="0" xfId="0" applyFont="1"/>
    <xf numFmtId="0" fontId="0" fillId="5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47" fillId="5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30" borderId="1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49" fontId="47" fillId="0" borderId="1" xfId="0" applyNumberFormat="1" applyFont="1" applyBorder="1"/>
    <xf numFmtId="0" fontId="7" fillId="12" borderId="0" xfId="18" applyFont="1" applyFill="1" applyAlignment="1">
      <alignment horizontal="center"/>
    </xf>
    <xf numFmtId="3" fontId="7" fillId="12" borderId="13" xfId="0" applyNumberFormat="1" applyFont="1" applyFill="1" applyBorder="1" applyAlignment="1">
      <alignment horizontal="right"/>
    </xf>
    <xf numFmtId="3" fontId="7" fillId="12" borderId="1" xfId="0" applyNumberFormat="1" applyFont="1" applyFill="1" applyBorder="1" applyAlignment="1">
      <alignment horizontal="right"/>
    </xf>
    <xf numFmtId="10" fontId="69" fillId="0" borderId="13" xfId="0" applyNumberFormat="1" applyFont="1" applyFill="1" applyBorder="1"/>
    <xf numFmtId="4" fontId="69" fillId="29" borderId="1" xfId="0" applyNumberFormat="1" applyFont="1" applyFill="1" applyBorder="1"/>
    <xf numFmtId="4" fontId="9" fillId="0" borderId="1" xfId="0" applyNumberFormat="1" applyFont="1" applyFill="1" applyBorder="1" applyAlignment="1">
      <alignment horizontal="right"/>
    </xf>
    <xf numFmtId="0" fontId="20" fillId="29" borderId="0" xfId="0" applyFont="1" applyFill="1" applyAlignment="1">
      <alignment horizontal="right"/>
    </xf>
    <xf numFmtId="0" fontId="133" fillId="0" borderId="0" xfId="0" applyFont="1"/>
    <xf numFmtId="14" fontId="133" fillId="17" borderId="0" xfId="0" applyNumberFormat="1" applyFont="1" applyFill="1"/>
    <xf numFmtId="0" fontId="133" fillId="0" borderId="0" xfId="0" applyFont="1" applyAlignment="1">
      <alignment horizontal="center"/>
    </xf>
    <xf numFmtId="0" fontId="134" fillId="46" borderId="0" xfId="0" applyFont="1" applyFill="1"/>
    <xf numFmtId="10" fontId="135" fillId="0" borderId="0" xfId="0" applyNumberFormat="1" applyFont="1"/>
    <xf numFmtId="9" fontId="136" fillId="0" borderId="0" xfId="6" applyFont="1" applyAlignment="1">
      <alignment horizontal="center"/>
    </xf>
    <xf numFmtId="0" fontId="7" fillId="0" borderId="0" xfId="0" applyFont="1" applyBorder="1" applyAlignment="1">
      <alignment horizontal="center"/>
    </xf>
    <xf numFmtId="9" fontId="7" fillId="16" borderId="0" xfId="6" applyFont="1" applyFill="1"/>
    <xf numFmtId="3" fontId="8" fillId="16" borderId="1" xfId="0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center" vertical="center"/>
    </xf>
    <xf numFmtId="10" fontId="137" fillId="0" borderId="1" xfId="6" applyNumberFormat="1" applyFont="1" applyBorder="1" applyAlignment="1">
      <alignment horizontal="center"/>
    </xf>
    <xf numFmtId="10" fontId="112" fillId="23" borderId="1" xfId="6" applyNumberFormat="1" applyFont="1" applyFill="1" applyBorder="1" applyAlignment="1">
      <alignment horizontal="center"/>
    </xf>
    <xf numFmtId="2" fontId="9" fillId="0" borderId="59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66" fontId="59" fillId="0" borderId="0" xfId="0" applyNumberFormat="1" applyFont="1" applyFill="1" applyBorder="1" applyAlignment="1">
      <alignment horizontal="center"/>
    </xf>
    <xf numFmtId="0" fontId="21" fillId="0" borderId="0" xfId="0" applyFont="1" applyFill="1" applyBorder="1"/>
    <xf numFmtId="0" fontId="8" fillId="0" borderId="0" xfId="0" applyFont="1" applyFill="1" applyBorder="1" applyAlignment="1">
      <alignment horizontal="center" vertical="center" wrapText="1"/>
    </xf>
    <xf numFmtId="44" fontId="7" fillId="0" borderId="0" xfId="2" applyFont="1" applyFill="1" applyBorder="1" applyAlignment="1">
      <alignment horizontal="center"/>
    </xf>
    <xf numFmtId="0" fontId="21" fillId="0" borderId="0" xfId="0" applyFont="1" applyFill="1" applyBorder="1" applyAlignment="1"/>
    <xf numFmtId="2" fontId="7" fillId="0" borderId="1" xfId="0" applyNumberFormat="1" applyFont="1" applyFill="1" applyBorder="1" applyAlignment="1">
      <alignment horizontal="center"/>
    </xf>
    <xf numFmtId="10" fontId="7" fillId="0" borderId="0" xfId="6" applyNumberFormat="1" applyFont="1" applyFill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0" borderId="17" xfId="0" applyNumberFormat="1" applyFont="1" applyBorder="1" applyAlignment="1">
      <alignment horizontal="center"/>
    </xf>
    <xf numFmtId="3" fontId="7" fillId="0" borderId="21" xfId="0" applyNumberFormat="1" applyFont="1" applyBorder="1" applyAlignment="1">
      <alignment horizontal="center"/>
    </xf>
    <xf numFmtId="10" fontId="7" fillId="0" borderId="17" xfId="6" applyNumberFormat="1" applyFont="1" applyBorder="1" applyAlignment="1">
      <alignment horizontal="center"/>
    </xf>
    <xf numFmtId="10" fontId="7" fillId="0" borderId="21" xfId="6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right"/>
    </xf>
    <xf numFmtId="3" fontId="7" fillId="0" borderId="17" xfId="0" applyNumberFormat="1" applyFont="1" applyBorder="1" applyAlignment="1">
      <alignment horizontal="right"/>
    </xf>
    <xf numFmtId="3" fontId="7" fillId="0" borderId="21" xfId="0" applyNumberFormat="1" applyFont="1" applyBorder="1" applyAlignment="1">
      <alignment horizontal="right"/>
    </xf>
    <xf numFmtId="3" fontId="8" fillId="0" borderId="60" xfId="0" applyNumberFormat="1" applyFont="1" applyBorder="1" applyAlignment="1">
      <alignment horizontal="right"/>
    </xf>
    <xf numFmtId="3" fontId="8" fillId="0" borderId="61" xfId="0" applyNumberFormat="1" applyFont="1" applyBorder="1" applyAlignment="1">
      <alignment horizontal="right"/>
    </xf>
    <xf numFmtId="3" fontId="8" fillId="0" borderId="62" xfId="0" applyNumberFormat="1" applyFont="1" applyBorder="1" applyAlignment="1">
      <alignment horizontal="right"/>
    </xf>
    <xf numFmtId="0" fontId="142" fillId="0" borderId="0" xfId="0" applyFont="1"/>
    <xf numFmtId="44" fontId="143" fillId="0" borderId="0" xfId="2" applyFont="1" applyFill="1" applyBorder="1"/>
    <xf numFmtId="44" fontId="141" fillId="0" borderId="0" xfId="2" applyFont="1" applyFill="1" applyBorder="1"/>
    <xf numFmtId="0" fontId="140" fillId="0" borderId="0" xfId="0" applyFont="1"/>
    <xf numFmtId="44" fontId="140" fillId="0" borderId="0" xfId="2" applyFont="1"/>
    <xf numFmtId="0" fontId="144" fillId="0" borderId="0" xfId="0" applyFont="1"/>
    <xf numFmtId="44" fontId="144" fillId="0" borderId="0" xfId="0" applyNumberFormat="1" applyFont="1"/>
    <xf numFmtId="0" fontId="8" fillId="10" borderId="0" xfId="0" applyFont="1" applyFill="1" applyAlignment="1">
      <alignment horizontal="left"/>
    </xf>
    <xf numFmtId="0" fontId="8" fillId="0" borderId="1" xfId="0" applyFont="1" applyBorder="1" applyAlignment="1">
      <alignment wrapText="1"/>
    </xf>
    <xf numFmtId="0" fontId="16" fillId="32" borderId="0" xfId="0" applyFont="1" applyFill="1"/>
    <xf numFmtId="0" fontId="7" fillId="32" borderId="0" xfId="0" applyFont="1" applyFill="1"/>
    <xf numFmtId="0" fontId="8" fillId="32" borderId="0" xfId="0" applyFont="1" applyFill="1"/>
    <xf numFmtId="0" fontId="146" fillId="0" borderId="0" xfId="0" applyFont="1" applyFill="1"/>
    <xf numFmtId="0" fontId="69" fillId="0" borderId="0" xfId="0" applyFont="1" applyFill="1"/>
    <xf numFmtId="0" fontId="60" fillId="32" borderId="0" xfId="0" applyFont="1" applyFill="1"/>
    <xf numFmtId="0" fontId="69" fillId="32" borderId="0" xfId="0" applyFont="1" applyFill="1"/>
    <xf numFmtId="0" fontId="16" fillId="9" borderId="0" xfId="0" applyFont="1" applyFill="1"/>
    <xf numFmtId="0" fontId="7" fillId="0" borderId="0" xfId="0" applyFont="1" applyBorder="1" applyAlignment="1">
      <alignment horizontal="center"/>
    </xf>
    <xf numFmtId="3" fontId="8" fillId="16" borderId="14" xfId="0" applyNumberFormat="1" applyFont="1" applyFill="1" applyBorder="1" applyAlignment="1">
      <alignment horizontal="center" wrapText="1"/>
    </xf>
    <xf numFmtId="3" fontId="7" fillId="0" borderId="3" xfId="2" applyNumberFormat="1" applyFont="1" applyBorder="1"/>
    <xf numFmtId="3" fontId="8" fillId="16" borderId="19" xfId="2" applyNumberFormat="1" applyFont="1" applyFill="1" applyBorder="1"/>
    <xf numFmtId="3" fontId="8" fillId="16" borderId="15" xfId="2" applyNumberFormat="1" applyFont="1" applyFill="1" applyBorder="1"/>
    <xf numFmtId="3" fontId="9" fillId="16" borderId="11" xfId="2" applyNumberFormat="1" applyFont="1" applyFill="1" applyBorder="1"/>
    <xf numFmtId="0" fontId="67" fillId="39" borderId="0" xfId="0" applyFont="1" applyFill="1" applyAlignment="1">
      <alignment horizontal="center"/>
    </xf>
    <xf numFmtId="0" fontId="7" fillId="0" borderId="0" xfId="0" applyFont="1" applyBorder="1" applyAlignment="1">
      <alignment horizontal="center"/>
    </xf>
    <xf numFmtId="0" fontId="13" fillId="24" borderId="14" xfId="0" applyFont="1" applyFill="1" applyBorder="1" applyAlignment="1">
      <alignment horizontal="left"/>
    </xf>
    <xf numFmtId="0" fontId="13" fillId="24" borderId="24" xfId="0" applyFont="1" applyFill="1" applyBorder="1" applyAlignment="1">
      <alignment horizontal="left"/>
    </xf>
    <xf numFmtId="0" fontId="20" fillId="0" borderId="0" xfId="0" applyFont="1" applyAlignment="1"/>
    <xf numFmtId="0" fontId="0" fillId="0" borderId="0" xfId="0" applyAlignment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9" borderId="12" xfId="0" applyFont="1" applyFill="1" applyBorder="1" applyAlignment="1">
      <alignment horizontal="left"/>
    </xf>
    <xf numFmtId="0" fontId="8" fillId="16" borderId="0" xfId="0" applyFont="1" applyFill="1" applyAlignment="1">
      <alignment horizontal="center"/>
    </xf>
    <xf numFmtId="0" fontId="8" fillId="35" borderId="26" xfId="0" applyFont="1" applyFill="1" applyBorder="1" applyAlignment="1">
      <alignment horizontal="center" vertical="center" wrapText="1"/>
    </xf>
    <xf numFmtId="0" fontId="81" fillId="42" borderId="4" xfId="0" applyFont="1" applyFill="1" applyBorder="1" applyAlignment="1">
      <alignment horizontal="center"/>
    </xf>
    <xf numFmtId="0" fontId="81" fillId="42" borderId="5" xfId="0" applyFont="1" applyFill="1" applyBorder="1" applyAlignment="1">
      <alignment horizontal="center"/>
    </xf>
    <xf numFmtId="3" fontId="112" fillId="0" borderId="16" xfId="0" applyNumberFormat="1" applyFont="1" applyFill="1" applyBorder="1" applyAlignment="1">
      <alignment horizontal="left" vertical="center" wrapText="1"/>
    </xf>
    <xf numFmtId="0" fontId="37" fillId="0" borderId="0" xfId="0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4" fillId="10" borderId="0" xfId="0" applyFont="1" applyFill="1" applyBorder="1" applyAlignment="1">
      <alignment horizontal="center" wrapText="1"/>
    </xf>
    <xf numFmtId="0" fontId="5" fillId="10" borderId="0" xfId="0" applyFont="1" applyFill="1" applyAlignment="1">
      <alignment horizontal="center" wrapText="1"/>
    </xf>
    <xf numFmtId="0" fontId="7" fillId="10" borderId="0" xfId="0" applyFont="1" applyFill="1" applyBorder="1" applyAlignment="1">
      <alignment horizontal="left"/>
    </xf>
    <xf numFmtId="0" fontId="145" fillId="0" borderId="0" xfId="2" applyNumberFormat="1" applyFont="1" applyFill="1" applyBorder="1" applyAlignment="1">
      <alignment horizontal="center"/>
    </xf>
  </cellXfs>
  <cellStyles count="30">
    <cellStyle name="Čárka" xfId="1" builtinId="3"/>
    <cellStyle name="Měna" xfId="2" builtinId="4"/>
    <cellStyle name="Měna 2" xfId="20" xr:uid="{E60EA24E-A42B-49DA-881A-7CA9A4BB851B}"/>
    <cellStyle name="Normální" xfId="0" builtinId="0"/>
    <cellStyle name="Normální 2" xfId="3" xr:uid="{00000000-0005-0000-0000-000003000000}"/>
    <cellStyle name="Normální 2 2" xfId="14" xr:uid="{DE890F2F-A579-4EF5-896B-28803C4335E5}"/>
    <cellStyle name="Normální 2 2 2" xfId="19" xr:uid="{1311817D-CE46-4249-B106-7EB1430FEC09}"/>
    <cellStyle name="Normální 2 2 3" xfId="29" xr:uid="{E60BF336-6C07-4D32-BDC9-7CFED1775114}"/>
    <cellStyle name="Normální 2 3" xfId="21" xr:uid="{3ADC37DB-BB2E-4EA5-8AE1-4A4DB7F6AB4E}"/>
    <cellStyle name="Normální 3" xfId="4" xr:uid="{00000000-0005-0000-0000-000004000000}"/>
    <cellStyle name="Normální 3 2" xfId="22" xr:uid="{FC148043-956E-4282-9230-2836CE9AB750}"/>
    <cellStyle name="Normální 4" xfId="9" xr:uid="{00000000-0005-0000-0000-000005000000}"/>
    <cellStyle name="Normální 4 2" xfId="13" xr:uid="{68155DAB-1C86-47D2-B966-8B80879C1DB7}"/>
    <cellStyle name="Normální 4 2 2" xfId="18" xr:uid="{06DA35AD-AFAA-4550-BD25-642085DE6F82}"/>
    <cellStyle name="Normální 4 2 3" xfId="28" xr:uid="{DDA8F97B-D799-47DF-8CE1-6C600650EE55}"/>
    <cellStyle name="Normální 4 3" xfId="24" xr:uid="{9AD9FEA6-EF25-4E40-A593-62DB5F251817}"/>
    <cellStyle name="Normální 5" xfId="11" xr:uid="{A2F0FDD2-B64F-4758-B54F-080BABA337E5}"/>
    <cellStyle name="Normální 5 2" xfId="26" xr:uid="{C2E3BD33-BC3B-41E0-B28A-C628F81B8C11}"/>
    <cellStyle name="Normální 6" xfId="15" xr:uid="{173D5A7A-EA79-4061-9C10-EB6885C65034}"/>
    <cellStyle name="Normální 7" xfId="16" xr:uid="{FFB434DB-6060-42E2-8E3B-CFEFBC2B36D5}"/>
    <cellStyle name="Poznámka" xfId="5" builtinId="10"/>
    <cellStyle name="Procenta" xfId="6" builtinId="5"/>
    <cellStyle name="Procenta 2" xfId="7" xr:uid="{00000000-0005-0000-0000-000008000000}"/>
    <cellStyle name="Procenta 2 2" xfId="23" xr:uid="{A7B1C626-6DFD-462D-8B8E-2D833DB00E4A}"/>
    <cellStyle name="Procenta 3" xfId="10" xr:uid="{00000000-0005-0000-0000-000009000000}"/>
    <cellStyle name="Procenta 3 2" xfId="25" xr:uid="{7B3F2C51-CF38-4158-8175-AA29EA28A93F}"/>
    <cellStyle name="Procenta 4" xfId="12" xr:uid="{9A62D1EC-4D15-47A2-A551-BE4347427AB9}"/>
    <cellStyle name="Procenta 4 2" xfId="27" xr:uid="{8D7422AA-980B-4EF0-BB1F-12DB1B9822D5}"/>
    <cellStyle name="Procenta 5" xfId="17" xr:uid="{881A7464-21DA-408B-BE56-041B584A06CD}"/>
    <cellStyle name="Špatně" xfId="8" builtinId="27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  <color rgb="FFFF00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304800" cy="291317"/>
    <xdr:sp macro="" textlink="">
      <xdr:nvSpPr>
        <xdr:cNvPr id="5" name="AutoShape 3" descr="https://www.sreality.cz/img/icon-phone.sv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600575" y="0"/>
          <a:ext cx="304800" cy="291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0</xdr:row>
      <xdr:rowOff>0</xdr:rowOff>
    </xdr:from>
    <xdr:ext cx="304800" cy="291318"/>
    <xdr:sp macro="" textlink="">
      <xdr:nvSpPr>
        <xdr:cNvPr id="6" name="AutoShape 4" descr="https://www.sreality.cz/img/icon-email.sv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600575" y="0"/>
          <a:ext cx="304800" cy="291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5862</xdr:colOff>
      <xdr:row>137</xdr:row>
      <xdr:rowOff>0</xdr:rowOff>
    </xdr:from>
    <xdr:to>
      <xdr:col>6</xdr:col>
      <xdr:colOff>323997</xdr:colOff>
      <xdr:row>138</xdr:row>
      <xdr:rowOff>74440</xdr:rowOff>
    </xdr:to>
    <xdr:sp macro="" textlink="">
      <xdr:nvSpPr>
        <xdr:cNvPr id="7" name="AutoShape 3" descr="https://www.sreality.cz/img/icon-phone.sv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600575" y="24874904"/>
          <a:ext cx="304800" cy="283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5862</xdr:colOff>
      <xdr:row>137</xdr:row>
      <xdr:rowOff>0</xdr:rowOff>
    </xdr:from>
    <xdr:to>
      <xdr:col>6</xdr:col>
      <xdr:colOff>323997</xdr:colOff>
      <xdr:row>138</xdr:row>
      <xdr:rowOff>93490</xdr:rowOff>
    </xdr:to>
    <xdr:sp macro="" textlink="">
      <xdr:nvSpPr>
        <xdr:cNvPr id="10" name="AutoShape 3" descr="https://www.sreality.cz/img/icon-phone.sv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501640" y="23735714"/>
          <a:ext cx="304800" cy="29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198707</xdr:colOff>
      <xdr:row>127</xdr:row>
      <xdr:rowOff>145819</xdr:rowOff>
    </xdr:from>
    <xdr:ext cx="304800" cy="143741"/>
    <xdr:sp macro="" textlink="">
      <xdr:nvSpPr>
        <xdr:cNvPr id="8" name="AutoShape 3" descr="https://www.sreality.cz/img/icon-phone.svg">
          <a:extLst>
            <a:ext uri="{FF2B5EF4-FFF2-40B4-BE49-F238E27FC236}">
              <a16:creationId xmlns:a16="http://schemas.microsoft.com/office/drawing/2014/main" id="{4404C11E-71B8-43A8-B557-2913A6F025F2}"/>
            </a:ext>
          </a:extLst>
        </xdr:cNvPr>
        <xdr:cNvSpPr>
          <a:spLocks noChangeAspect="1" noChangeArrowheads="1"/>
        </xdr:cNvSpPr>
      </xdr:nvSpPr>
      <xdr:spPr bwMode="auto">
        <a:xfrm flipV="1">
          <a:off x="7025640" y="21160740"/>
          <a:ext cx="304800" cy="143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" name="AutoShape 3" descr="https://www.sreality.cz/img/icon-phone.svg">
          <a:extLst>
            <a:ext uri="{FF2B5EF4-FFF2-40B4-BE49-F238E27FC236}">
              <a16:creationId xmlns:a16="http://schemas.microsoft.com/office/drawing/2014/main" id="{46134486-F28A-4554-87C9-C909CE549E5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" name="AutoShape 3" descr="https://www.sreality.cz/img/icon-phone.svg">
          <a:extLst>
            <a:ext uri="{FF2B5EF4-FFF2-40B4-BE49-F238E27FC236}">
              <a16:creationId xmlns:a16="http://schemas.microsoft.com/office/drawing/2014/main" id="{4DEA85C2-1BE8-4E1D-9B1A-C200FDD9C1E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" name="AutoShape 3" descr="https://www.sreality.cz/img/icon-phone.svg">
          <a:extLst>
            <a:ext uri="{FF2B5EF4-FFF2-40B4-BE49-F238E27FC236}">
              <a16:creationId xmlns:a16="http://schemas.microsoft.com/office/drawing/2014/main" id="{DB850E11-E047-4F03-93A2-D7747A87723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" name="AutoShape 3" descr="https://www.sreality.cz/img/icon-phone.svg">
          <a:extLst>
            <a:ext uri="{FF2B5EF4-FFF2-40B4-BE49-F238E27FC236}">
              <a16:creationId xmlns:a16="http://schemas.microsoft.com/office/drawing/2014/main" id="{F2B1ACE8-0BED-4421-AC3B-D4A2C269962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" name="AutoShape 3" descr="https://www.sreality.cz/img/icon-phone.svg">
          <a:extLst>
            <a:ext uri="{FF2B5EF4-FFF2-40B4-BE49-F238E27FC236}">
              <a16:creationId xmlns:a16="http://schemas.microsoft.com/office/drawing/2014/main" id="{00977044-7F66-459C-AA38-B2F19C988FE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" name="AutoShape 3" descr="https://www.sreality.cz/img/icon-phone.svg">
          <a:extLst>
            <a:ext uri="{FF2B5EF4-FFF2-40B4-BE49-F238E27FC236}">
              <a16:creationId xmlns:a16="http://schemas.microsoft.com/office/drawing/2014/main" id="{275391CA-7A65-47DB-ACDE-E23C7696B68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" name="AutoShape 3" descr="https://www.sreality.cz/img/icon-phone.svg">
          <a:extLst>
            <a:ext uri="{FF2B5EF4-FFF2-40B4-BE49-F238E27FC236}">
              <a16:creationId xmlns:a16="http://schemas.microsoft.com/office/drawing/2014/main" id="{57863034-D43C-489F-B52D-9DA13C33BAE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7" name="AutoShape 3" descr="https://www.sreality.cz/img/icon-phone.svg">
          <a:extLst>
            <a:ext uri="{FF2B5EF4-FFF2-40B4-BE49-F238E27FC236}">
              <a16:creationId xmlns:a16="http://schemas.microsoft.com/office/drawing/2014/main" id="{787A861B-C712-4258-B614-93B99F19FBB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" name="AutoShape 3" descr="https://www.sreality.cz/img/icon-phone.svg">
          <a:extLst>
            <a:ext uri="{FF2B5EF4-FFF2-40B4-BE49-F238E27FC236}">
              <a16:creationId xmlns:a16="http://schemas.microsoft.com/office/drawing/2014/main" id="{8A7670FF-1FD4-4E03-BC86-51500E55ED2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" name="AutoShape 3" descr="https://www.sreality.cz/img/icon-phone.svg">
          <a:extLst>
            <a:ext uri="{FF2B5EF4-FFF2-40B4-BE49-F238E27FC236}">
              <a16:creationId xmlns:a16="http://schemas.microsoft.com/office/drawing/2014/main" id="{73BA7161-1F85-4D38-B539-ED4D2450F1B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" name="AutoShape 3" descr="https://www.sreality.cz/img/icon-phone.svg">
          <a:extLst>
            <a:ext uri="{FF2B5EF4-FFF2-40B4-BE49-F238E27FC236}">
              <a16:creationId xmlns:a16="http://schemas.microsoft.com/office/drawing/2014/main" id="{04A3C0FD-4421-4B3E-9619-1413F409352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" name="AutoShape 3" descr="https://www.sreality.cz/img/icon-phone.svg">
          <a:extLst>
            <a:ext uri="{FF2B5EF4-FFF2-40B4-BE49-F238E27FC236}">
              <a16:creationId xmlns:a16="http://schemas.microsoft.com/office/drawing/2014/main" id="{173F7757-88DE-4B5A-960A-09DD4EB915E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2" name="AutoShape 3" descr="https://www.sreality.cz/img/icon-phone.svg">
          <a:extLst>
            <a:ext uri="{FF2B5EF4-FFF2-40B4-BE49-F238E27FC236}">
              <a16:creationId xmlns:a16="http://schemas.microsoft.com/office/drawing/2014/main" id="{DA47B894-AC5B-4B90-B11A-966EC7A04D3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" name="AutoShape 3" descr="https://www.sreality.cz/img/icon-phone.svg">
          <a:extLst>
            <a:ext uri="{FF2B5EF4-FFF2-40B4-BE49-F238E27FC236}">
              <a16:creationId xmlns:a16="http://schemas.microsoft.com/office/drawing/2014/main" id="{706FAFE9-2E23-4AC3-A750-FEB6F2D53BA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" name="AutoShape 3" descr="https://www.sreality.cz/img/icon-phone.svg">
          <a:extLst>
            <a:ext uri="{FF2B5EF4-FFF2-40B4-BE49-F238E27FC236}">
              <a16:creationId xmlns:a16="http://schemas.microsoft.com/office/drawing/2014/main" id="{4CBF3708-4FB3-4A0B-A4D7-D8AC9A90C07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" name="AutoShape 3" descr="https://www.sreality.cz/img/icon-phone.svg">
          <a:extLst>
            <a:ext uri="{FF2B5EF4-FFF2-40B4-BE49-F238E27FC236}">
              <a16:creationId xmlns:a16="http://schemas.microsoft.com/office/drawing/2014/main" id="{6D6BE1A8-B5BB-494E-98C1-67935EB136B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6" name="AutoShape 3" descr="https://www.sreality.cz/img/icon-phone.svg">
          <a:extLst>
            <a:ext uri="{FF2B5EF4-FFF2-40B4-BE49-F238E27FC236}">
              <a16:creationId xmlns:a16="http://schemas.microsoft.com/office/drawing/2014/main" id="{6233CE0A-4BF5-4794-8BCA-5C9CA7AEC95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7" name="AutoShape 3" descr="https://www.sreality.cz/img/icon-phone.svg">
          <a:extLst>
            <a:ext uri="{FF2B5EF4-FFF2-40B4-BE49-F238E27FC236}">
              <a16:creationId xmlns:a16="http://schemas.microsoft.com/office/drawing/2014/main" id="{D0A719FF-AE60-4BAD-A917-B5BE45A7F4C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" name="AutoShape 3" descr="https://www.sreality.cz/img/icon-phone.svg">
          <a:extLst>
            <a:ext uri="{FF2B5EF4-FFF2-40B4-BE49-F238E27FC236}">
              <a16:creationId xmlns:a16="http://schemas.microsoft.com/office/drawing/2014/main" id="{53011BB5-1A20-48C5-9A72-853CFFA1AB7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" name="AutoShape 3" descr="https://www.sreality.cz/img/icon-phone.svg">
          <a:extLst>
            <a:ext uri="{FF2B5EF4-FFF2-40B4-BE49-F238E27FC236}">
              <a16:creationId xmlns:a16="http://schemas.microsoft.com/office/drawing/2014/main" id="{0825CFD1-4AED-47FA-84CA-74FA40CD89D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0" name="AutoShape 3" descr="https://www.sreality.cz/img/icon-phone.svg">
          <a:extLst>
            <a:ext uri="{FF2B5EF4-FFF2-40B4-BE49-F238E27FC236}">
              <a16:creationId xmlns:a16="http://schemas.microsoft.com/office/drawing/2014/main" id="{EB4A98C7-08AD-45FB-A09A-E34942009AD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" name="AutoShape 3" descr="https://www.sreality.cz/img/icon-phone.svg">
          <a:extLst>
            <a:ext uri="{FF2B5EF4-FFF2-40B4-BE49-F238E27FC236}">
              <a16:creationId xmlns:a16="http://schemas.microsoft.com/office/drawing/2014/main" id="{DBAE6C1E-3EA0-4A13-BB03-D876C1BFBD7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" name="AutoShape 3" descr="https://www.sreality.cz/img/icon-phone.svg">
          <a:extLst>
            <a:ext uri="{FF2B5EF4-FFF2-40B4-BE49-F238E27FC236}">
              <a16:creationId xmlns:a16="http://schemas.microsoft.com/office/drawing/2014/main" id="{9912E1D1-7672-4E18-86CD-D8F12773D9A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3" name="AutoShape 3" descr="https://www.sreality.cz/img/icon-phone.svg">
          <a:extLst>
            <a:ext uri="{FF2B5EF4-FFF2-40B4-BE49-F238E27FC236}">
              <a16:creationId xmlns:a16="http://schemas.microsoft.com/office/drawing/2014/main" id="{6AA53733-EE57-4633-9EDD-68B807603EB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" name="AutoShape 3" descr="https://www.sreality.cz/img/icon-phone.svg">
          <a:extLst>
            <a:ext uri="{FF2B5EF4-FFF2-40B4-BE49-F238E27FC236}">
              <a16:creationId xmlns:a16="http://schemas.microsoft.com/office/drawing/2014/main" id="{B57E6ECA-ACD7-4F0A-BD25-3DC8BEFDA6A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" name="AutoShape 3" descr="https://www.sreality.cz/img/icon-phone.svg">
          <a:extLst>
            <a:ext uri="{FF2B5EF4-FFF2-40B4-BE49-F238E27FC236}">
              <a16:creationId xmlns:a16="http://schemas.microsoft.com/office/drawing/2014/main" id="{4D863B5D-6CCE-4458-AE1E-E4DA468CFB0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" name="AutoShape 3" descr="https://www.sreality.cz/img/icon-phone.svg">
          <a:extLst>
            <a:ext uri="{FF2B5EF4-FFF2-40B4-BE49-F238E27FC236}">
              <a16:creationId xmlns:a16="http://schemas.microsoft.com/office/drawing/2014/main" id="{DE53B355-3912-46A4-9BEF-4605521BCCC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" name="AutoShape 3" descr="https://www.sreality.cz/img/icon-phone.svg">
          <a:extLst>
            <a:ext uri="{FF2B5EF4-FFF2-40B4-BE49-F238E27FC236}">
              <a16:creationId xmlns:a16="http://schemas.microsoft.com/office/drawing/2014/main" id="{F19B4DAF-7F28-4AD9-8BA7-F8A087A45EF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8" name="AutoShape 3" descr="https://www.sreality.cz/img/icon-phone.svg">
          <a:extLst>
            <a:ext uri="{FF2B5EF4-FFF2-40B4-BE49-F238E27FC236}">
              <a16:creationId xmlns:a16="http://schemas.microsoft.com/office/drawing/2014/main" id="{A231E6E3-F938-4EE0-A9A7-4EC7537BD89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" name="AutoShape 3" descr="https://www.sreality.cz/img/icon-phone.svg">
          <a:extLst>
            <a:ext uri="{FF2B5EF4-FFF2-40B4-BE49-F238E27FC236}">
              <a16:creationId xmlns:a16="http://schemas.microsoft.com/office/drawing/2014/main" id="{E8EAFC3D-70CC-4C1E-BB87-03FD18E3E50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" name="AutoShape 3" descr="https://www.sreality.cz/img/icon-phone.svg">
          <a:extLst>
            <a:ext uri="{FF2B5EF4-FFF2-40B4-BE49-F238E27FC236}">
              <a16:creationId xmlns:a16="http://schemas.microsoft.com/office/drawing/2014/main" id="{1B05CD0F-D8E5-4475-A218-0F503F3CBB8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" name="AutoShape 3" descr="https://www.sreality.cz/img/icon-phone.svg">
          <a:extLst>
            <a:ext uri="{FF2B5EF4-FFF2-40B4-BE49-F238E27FC236}">
              <a16:creationId xmlns:a16="http://schemas.microsoft.com/office/drawing/2014/main" id="{880DD53F-496D-4414-B69E-74F5BEB1C21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2" name="AutoShape 3" descr="https://www.sreality.cz/img/icon-phone.svg">
          <a:extLst>
            <a:ext uri="{FF2B5EF4-FFF2-40B4-BE49-F238E27FC236}">
              <a16:creationId xmlns:a16="http://schemas.microsoft.com/office/drawing/2014/main" id="{B3032608-9672-45D9-9A79-B69D6ECE64C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" name="AutoShape 3" descr="https://www.sreality.cz/img/icon-phone.svg">
          <a:extLst>
            <a:ext uri="{FF2B5EF4-FFF2-40B4-BE49-F238E27FC236}">
              <a16:creationId xmlns:a16="http://schemas.microsoft.com/office/drawing/2014/main" id="{48913C59-58AE-4B76-8A6A-1B8E6FBC7EC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4" name="AutoShape 3" descr="https://www.sreality.cz/img/icon-phone.svg">
          <a:extLst>
            <a:ext uri="{FF2B5EF4-FFF2-40B4-BE49-F238E27FC236}">
              <a16:creationId xmlns:a16="http://schemas.microsoft.com/office/drawing/2014/main" id="{045FE95C-C0A1-4E96-A42E-98D97236469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5" name="AutoShape 3" descr="https://www.sreality.cz/img/icon-phone.svg">
          <a:extLst>
            <a:ext uri="{FF2B5EF4-FFF2-40B4-BE49-F238E27FC236}">
              <a16:creationId xmlns:a16="http://schemas.microsoft.com/office/drawing/2014/main" id="{DEB74A50-85AF-4601-9FA5-0E669A5367A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" name="AutoShape 3" descr="https://www.sreality.cz/img/icon-phone.svg">
          <a:extLst>
            <a:ext uri="{FF2B5EF4-FFF2-40B4-BE49-F238E27FC236}">
              <a16:creationId xmlns:a16="http://schemas.microsoft.com/office/drawing/2014/main" id="{B7CEFB7D-C798-4CDF-9E7A-24242CACCED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" name="AutoShape 3" descr="https://www.sreality.cz/img/icon-phone.svg">
          <a:extLst>
            <a:ext uri="{FF2B5EF4-FFF2-40B4-BE49-F238E27FC236}">
              <a16:creationId xmlns:a16="http://schemas.microsoft.com/office/drawing/2014/main" id="{8A206DFB-6FA1-43D0-ABD7-436F90012A7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8" name="AutoShape 3" descr="https://www.sreality.cz/img/icon-phone.svg">
          <a:extLst>
            <a:ext uri="{FF2B5EF4-FFF2-40B4-BE49-F238E27FC236}">
              <a16:creationId xmlns:a16="http://schemas.microsoft.com/office/drawing/2014/main" id="{E1740B53-E6DF-49F6-8F3B-DADA1F878DA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9" name="AutoShape 3" descr="https://www.sreality.cz/img/icon-phone.svg">
          <a:extLst>
            <a:ext uri="{FF2B5EF4-FFF2-40B4-BE49-F238E27FC236}">
              <a16:creationId xmlns:a16="http://schemas.microsoft.com/office/drawing/2014/main" id="{5B15E1F9-6C8E-4535-905C-5FA9661BA20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" name="AutoShape 3" descr="https://www.sreality.cz/img/icon-phone.svg">
          <a:extLst>
            <a:ext uri="{FF2B5EF4-FFF2-40B4-BE49-F238E27FC236}">
              <a16:creationId xmlns:a16="http://schemas.microsoft.com/office/drawing/2014/main" id="{F5D6EDA2-E521-4EFC-8303-A4378CEEB4C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1" name="AutoShape 3" descr="https://www.sreality.cz/img/icon-phone.svg">
          <a:extLst>
            <a:ext uri="{FF2B5EF4-FFF2-40B4-BE49-F238E27FC236}">
              <a16:creationId xmlns:a16="http://schemas.microsoft.com/office/drawing/2014/main" id="{3CCC05F4-5A48-4044-9A73-46C54877F6E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2" name="AutoShape 3" descr="https://www.sreality.cz/img/icon-phone.svg">
          <a:extLst>
            <a:ext uri="{FF2B5EF4-FFF2-40B4-BE49-F238E27FC236}">
              <a16:creationId xmlns:a16="http://schemas.microsoft.com/office/drawing/2014/main" id="{F2E02652-1C84-4903-A989-3839ADF12D1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" name="AutoShape 3" descr="https://www.sreality.cz/img/icon-phone.svg">
          <a:extLst>
            <a:ext uri="{FF2B5EF4-FFF2-40B4-BE49-F238E27FC236}">
              <a16:creationId xmlns:a16="http://schemas.microsoft.com/office/drawing/2014/main" id="{02C3FFA0-C4D4-4546-A8F8-7873FEDC092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4" name="AutoShape 3" descr="https://www.sreality.cz/img/icon-phone.svg">
          <a:extLst>
            <a:ext uri="{FF2B5EF4-FFF2-40B4-BE49-F238E27FC236}">
              <a16:creationId xmlns:a16="http://schemas.microsoft.com/office/drawing/2014/main" id="{39B280D5-A287-48E2-9C46-84BFC39792A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5" name="AutoShape 3" descr="https://www.sreality.cz/img/icon-phone.svg">
          <a:extLst>
            <a:ext uri="{FF2B5EF4-FFF2-40B4-BE49-F238E27FC236}">
              <a16:creationId xmlns:a16="http://schemas.microsoft.com/office/drawing/2014/main" id="{A30E1423-142C-44A1-AA69-1792435C64A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6" name="AutoShape 3" descr="https://www.sreality.cz/img/icon-phone.svg">
          <a:extLst>
            <a:ext uri="{FF2B5EF4-FFF2-40B4-BE49-F238E27FC236}">
              <a16:creationId xmlns:a16="http://schemas.microsoft.com/office/drawing/2014/main" id="{6B6C30C1-2CF3-459E-8F18-E84F6D5ADC1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7" name="AutoShape 3" descr="https://www.sreality.cz/img/icon-phone.svg">
          <a:extLst>
            <a:ext uri="{FF2B5EF4-FFF2-40B4-BE49-F238E27FC236}">
              <a16:creationId xmlns:a16="http://schemas.microsoft.com/office/drawing/2014/main" id="{2FE19E09-7A5E-40F6-826C-C78F4448541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8" name="AutoShape 3" descr="https://www.sreality.cz/img/icon-phone.svg">
          <a:extLst>
            <a:ext uri="{FF2B5EF4-FFF2-40B4-BE49-F238E27FC236}">
              <a16:creationId xmlns:a16="http://schemas.microsoft.com/office/drawing/2014/main" id="{4A9FF099-62FD-4272-B407-68E5F5B1226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9" name="AutoShape 3" descr="https://www.sreality.cz/img/icon-phone.svg">
          <a:extLst>
            <a:ext uri="{FF2B5EF4-FFF2-40B4-BE49-F238E27FC236}">
              <a16:creationId xmlns:a16="http://schemas.microsoft.com/office/drawing/2014/main" id="{90E69BD9-9826-4380-9226-D6ABABAD679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0" name="AutoShape 3" descr="https://www.sreality.cz/img/icon-phone.svg">
          <a:extLst>
            <a:ext uri="{FF2B5EF4-FFF2-40B4-BE49-F238E27FC236}">
              <a16:creationId xmlns:a16="http://schemas.microsoft.com/office/drawing/2014/main" id="{819B5543-1715-4CB8-A8AC-69F7BCC0EA8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1" name="AutoShape 3" descr="https://www.sreality.cz/img/icon-phone.svg">
          <a:extLst>
            <a:ext uri="{FF2B5EF4-FFF2-40B4-BE49-F238E27FC236}">
              <a16:creationId xmlns:a16="http://schemas.microsoft.com/office/drawing/2014/main" id="{448FAEFA-EF2B-4945-BF86-D7F830FA049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2" name="AutoShape 3" descr="https://www.sreality.cz/img/icon-phone.svg">
          <a:extLst>
            <a:ext uri="{FF2B5EF4-FFF2-40B4-BE49-F238E27FC236}">
              <a16:creationId xmlns:a16="http://schemas.microsoft.com/office/drawing/2014/main" id="{127C8F8F-72C1-469D-BB8A-A0D43919F6B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3" name="AutoShape 3" descr="https://www.sreality.cz/img/icon-phone.svg">
          <a:extLst>
            <a:ext uri="{FF2B5EF4-FFF2-40B4-BE49-F238E27FC236}">
              <a16:creationId xmlns:a16="http://schemas.microsoft.com/office/drawing/2014/main" id="{135E52A1-F9FB-4A37-9EB5-A5CAA96BCDA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4" name="AutoShape 3" descr="https://www.sreality.cz/img/icon-phone.svg">
          <a:extLst>
            <a:ext uri="{FF2B5EF4-FFF2-40B4-BE49-F238E27FC236}">
              <a16:creationId xmlns:a16="http://schemas.microsoft.com/office/drawing/2014/main" id="{42DD341B-AD0F-4D61-B597-54E9788D24B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5" name="AutoShape 3" descr="https://www.sreality.cz/img/icon-phone.svg">
          <a:extLst>
            <a:ext uri="{FF2B5EF4-FFF2-40B4-BE49-F238E27FC236}">
              <a16:creationId xmlns:a16="http://schemas.microsoft.com/office/drawing/2014/main" id="{AF1B0A9D-91E6-4225-8275-5129CC47AB2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6" name="AutoShape 3" descr="https://www.sreality.cz/img/icon-phone.svg">
          <a:extLst>
            <a:ext uri="{FF2B5EF4-FFF2-40B4-BE49-F238E27FC236}">
              <a16:creationId xmlns:a16="http://schemas.microsoft.com/office/drawing/2014/main" id="{4C95FDD2-EE81-4417-9446-E61CC57396D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7" name="AutoShape 3" descr="https://www.sreality.cz/img/icon-phone.svg">
          <a:extLst>
            <a:ext uri="{FF2B5EF4-FFF2-40B4-BE49-F238E27FC236}">
              <a16:creationId xmlns:a16="http://schemas.microsoft.com/office/drawing/2014/main" id="{C0875D14-4EF4-4331-A4AF-3CD7E3DF060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8" name="AutoShape 3" descr="https://www.sreality.cz/img/icon-phone.svg">
          <a:extLst>
            <a:ext uri="{FF2B5EF4-FFF2-40B4-BE49-F238E27FC236}">
              <a16:creationId xmlns:a16="http://schemas.microsoft.com/office/drawing/2014/main" id="{90183821-7F87-45A6-9D27-0CBBD16B829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69" name="AutoShape 3" descr="https://www.sreality.cz/img/icon-phone.svg">
          <a:extLst>
            <a:ext uri="{FF2B5EF4-FFF2-40B4-BE49-F238E27FC236}">
              <a16:creationId xmlns:a16="http://schemas.microsoft.com/office/drawing/2014/main" id="{879DC048-68F5-4352-92A7-B769413CA7C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0" name="AutoShape 3" descr="https://www.sreality.cz/img/icon-phone.svg">
          <a:extLst>
            <a:ext uri="{FF2B5EF4-FFF2-40B4-BE49-F238E27FC236}">
              <a16:creationId xmlns:a16="http://schemas.microsoft.com/office/drawing/2014/main" id="{AD8821D9-3CBA-40EB-88E6-30458565C39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1" name="AutoShape 3" descr="https://www.sreality.cz/img/icon-phone.svg">
          <a:extLst>
            <a:ext uri="{FF2B5EF4-FFF2-40B4-BE49-F238E27FC236}">
              <a16:creationId xmlns:a16="http://schemas.microsoft.com/office/drawing/2014/main" id="{ED33B850-FF2D-493F-9747-2CC45B7BD54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2" name="AutoShape 3" descr="https://www.sreality.cz/img/icon-phone.svg">
          <a:extLst>
            <a:ext uri="{FF2B5EF4-FFF2-40B4-BE49-F238E27FC236}">
              <a16:creationId xmlns:a16="http://schemas.microsoft.com/office/drawing/2014/main" id="{46DC2738-6B4D-429E-8237-6DE1197717D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3" name="AutoShape 3" descr="https://www.sreality.cz/img/icon-phone.svg">
          <a:extLst>
            <a:ext uri="{FF2B5EF4-FFF2-40B4-BE49-F238E27FC236}">
              <a16:creationId xmlns:a16="http://schemas.microsoft.com/office/drawing/2014/main" id="{C1169FA6-F598-4BCE-A7FF-A379E30A35A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4" name="AutoShape 3" descr="https://www.sreality.cz/img/icon-phone.svg">
          <a:extLst>
            <a:ext uri="{FF2B5EF4-FFF2-40B4-BE49-F238E27FC236}">
              <a16:creationId xmlns:a16="http://schemas.microsoft.com/office/drawing/2014/main" id="{1B3204BD-231F-45D2-88EF-81E3057CC63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5" name="AutoShape 3" descr="https://www.sreality.cz/img/icon-phone.svg">
          <a:extLst>
            <a:ext uri="{FF2B5EF4-FFF2-40B4-BE49-F238E27FC236}">
              <a16:creationId xmlns:a16="http://schemas.microsoft.com/office/drawing/2014/main" id="{F8D3B074-40B8-42CC-97B7-506F907B019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6" name="AutoShape 3" descr="https://www.sreality.cz/img/icon-phone.svg">
          <a:extLst>
            <a:ext uri="{FF2B5EF4-FFF2-40B4-BE49-F238E27FC236}">
              <a16:creationId xmlns:a16="http://schemas.microsoft.com/office/drawing/2014/main" id="{C3108FD4-565B-4F00-AE41-BB0137C9CEE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7" name="AutoShape 3" descr="https://www.sreality.cz/img/icon-phone.svg">
          <a:extLst>
            <a:ext uri="{FF2B5EF4-FFF2-40B4-BE49-F238E27FC236}">
              <a16:creationId xmlns:a16="http://schemas.microsoft.com/office/drawing/2014/main" id="{01A2DDEE-6B27-418A-A8AA-3C32DE069FF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8" name="AutoShape 3" descr="https://www.sreality.cz/img/icon-phone.svg">
          <a:extLst>
            <a:ext uri="{FF2B5EF4-FFF2-40B4-BE49-F238E27FC236}">
              <a16:creationId xmlns:a16="http://schemas.microsoft.com/office/drawing/2014/main" id="{0CC0F0C8-BFAD-4072-9D51-6C704B484E6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79" name="AutoShape 3" descr="https://www.sreality.cz/img/icon-phone.svg">
          <a:extLst>
            <a:ext uri="{FF2B5EF4-FFF2-40B4-BE49-F238E27FC236}">
              <a16:creationId xmlns:a16="http://schemas.microsoft.com/office/drawing/2014/main" id="{7A434180-A7C9-47D4-81E5-52E0DE49E48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80" name="AutoShape 3" descr="https://www.sreality.cz/img/icon-phone.svg">
          <a:extLst>
            <a:ext uri="{FF2B5EF4-FFF2-40B4-BE49-F238E27FC236}">
              <a16:creationId xmlns:a16="http://schemas.microsoft.com/office/drawing/2014/main" id="{E3B868CE-6A9A-42BE-931F-88B9E5E2D2B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81" name="AutoShape 3" descr="https://www.sreality.cz/img/icon-phone.svg">
          <a:extLst>
            <a:ext uri="{FF2B5EF4-FFF2-40B4-BE49-F238E27FC236}">
              <a16:creationId xmlns:a16="http://schemas.microsoft.com/office/drawing/2014/main" id="{10772835-1256-47B1-B802-C47EFA4F955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82" name="AutoShape 3" descr="https://www.sreality.cz/img/icon-phone.svg">
          <a:extLst>
            <a:ext uri="{FF2B5EF4-FFF2-40B4-BE49-F238E27FC236}">
              <a16:creationId xmlns:a16="http://schemas.microsoft.com/office/drawing/2014/main" id="{CB274489-EB29-4042-9958-8C198ACBC9E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83" name="AutoShape 3" descr="https://www.sreality.cz/img/icon-phone.svg">
          <a:extLst>
            <a:ext uri="{FF2B5EF4-FFF2-40B4-BE49-F238E27FC236}">
              <a16:creationId xmlns:a16="http://schemas.microsoft.com/office/drawing/2014/main" id="{97DB91C8-7529-41B6-AF36-35DD0BF7C24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84" name="AutoShape 3" descr="https://www.sreality.cz/img/icon-phone.svg">
          <a:extLst>
            <a:ext uri="{FF2B5EF4-FFF2-40B4-BE49-F238E27FC236}">
              <a16:creationId xmlns:a16="http://schemas.microsoft.com/office/drawing/2014/main" id="{936C65E1-97AD-4787-A459-DC832820C53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6</xdr:row>
      <xdr:rowOff>23446</xdr:rowOff>
    </xdr:from>
    <xdr:ext cx="304800" cy="282393"/>
    <xdr:sp macro="" textlink="">
      <xdr:nvSpPr>
        <xdr:cNvPr id="85" name="AutoShape 3" descr="https://www.sreality.cz/img/icon-phone.svg">
          <a:extLst>
            <a:ext uri="{FF2B5EF4-FFF2-40B4-BE49-F238E27FC236}">
              <a16:creationId xmlns:a16="http://schemas.microsoft.com/office/drawing/2014/main" id="{C4E61041-B86C-4129-8FB9-690084663B3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7</xdr:row>
      <xdr:rowOff>23446</xdr:rowOff>
    </xdr:from>
    <xdr:ext cx="304800" cy="282393"/>
    <xdr:sp macro="" textlink="">
      <xdr:nvSpPr>
        <xdr:cNvPr id="86" name="AutoShape 3" descr="https://www.sreality.cz/img/icon-phone.svg">
          <a:extLst>
            <a:ext uri="{FF2B5EF4-FFF2-40B4-BE49-F238E27FC236}">
              <a16:creationId xmlns:a16="http://schemas.microsoft.com/office/drawing/2014/main" id="{6D2F25AB-E91E-4400-81AA-6D7A1824304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87" name="AutoShape 3" descr="https://www.sreality.cz/img/icon-phone.svg">
          <a:extLst>
            <a:ext uri="{FF2B5EF4-FFF2-40B4-BE49-F238E27FC236}">
              <a16:creationId xmlns:a16="http://schemas.microsoft.com/office/drawing/2014/main" id="{D0F05909-688B-486A-852C-6C8CE407BFF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88" name="AutoShape 3" descr="https://www.sreality.cz/img/icon-phone.svg">
          <a:extLst>
            <a:ext uri="{FF2B5EF4-FFF2-40B4-BE49-F238E27FC236}">
              <a16:creationId xmlns:a16="http://schemas.microsoft.com/office/drawing/2014/main" id="{7BC4A6DC-1A4C-498D-9846-EF20058DA3B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89" name="AutoShape 3" descr="https://www.sreality.cz/img/icon-phone.svg">
          <a:extLst>
            <a:ext uri="{FF2B5EF4-FFF2-40B4-BE49-F238E27FC236}">
              <a16:creationId xmlns:a16="http://schemas.microsoft.com/office/drawing/2014/main" id="{7880A23B-F3D3-4594-A44C-67BD0FBC906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0" name="AutoShape 3" descr="https://www.sreality.cz/img/icon-phone.svg">
          <a:extLst>
            <a:ext uri="{FF2B5EF4-FFF2-40B4-BE49-F238E27FC236}">
              <a16:creationId xmlns:a16="http://schemas.microsoft.com/office/drawing/2014/main" id="{B54729D6-F5BE-4523-A907-AEE15442671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1" name="AutoShape 3" descr="https://www.sreality.cz/img/icon-phone.svg">
          <a:extLst>
            <a:ext uri="{FF2B5EF4-FFF2-40B4-BE49-F238E27FC236}">
              <a16:creationId xmlns:a16="http://schemas.microsoft.com/office/drawing/2014/main" id="{D94D8D1C-B515-4A03-B5FF-2186EE501C0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2" name="AutoShape 3" descr="https://www.sreality.cz/img/icon-phone.svg">
          <a:extLst>
            <a:ext uri="{FF2B5EF4-FFF2-40B4-BE49-F238E27FC236}">
              <a16:creationId xmlns:a16="http://schemas.microsoft.com/office/drawing/2014/main" id="{C74741A7-04EF-4C02-935A-2ACFA6E4EA2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3" name="AutoShape 3" descr="https://www.sreality.cz/img/icon-phone.svg">
          <a:extLst>
            <a:ext uri="{FF2B5EF4-FFF2-40B4-BE49-F238E27FC236}">
              <a16:creationId xmlns:a16="http://schemas.microsoft.com/office/drawing/2014/main" id="{2FC7C2E8-7325-4737-87B8-46DA508AFAF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4" name="AutoShape 3" descr="https://www.sreality.cz/img/icon-phone.svg">
          <a:extLst>
            <a:ext uri="{FF2B5EF4-FFF2-40B4-BE49-F238E27FC236}">
              <a16:creationId xmlns:a16="http://schemas.microsoft.com/office/drawing/2014/main" id="{9746E369-F75D-4E62-A6BB-4B6D9D9C816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5" name="AutoShape 3" descr="https://www.sreality.cz/img/icon-phone.svg">
          <a:extLst>
            <a:ext uri="{FF2B5EF4-FFF2-40B4-BE49-F238E27FC236}">
              <a16:creationId xmlns:a16="http://schemas.microsoft.com/office/drawing/2014/main" id="{BBDA74B6-DD70-4918-8802-AEC2CECA34E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6" name="AutoShape 3" descr="https://www.sreality.cz/img/icon-phone.svg">
          <a:extLst>
            <a:ext uri="{FF2B5EF4-FFF2-40B4-BE49-F238E27FC236}">
              <a16:creationId xmlns:a16="http://schemas.microsoft.com/office/drawing/2014/main" id="{F66334AA-8A13-4821-BACD-45DB2B6E232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7" name="AutoShape 3" descr="https://www.sreality.cz/img/icon-phone.svg">
          <a:extLst>
            <a:ext uri="{FF2B5EF4-FFF2-40B4-BE49-F238E27FC236}">
              <a16:creationId xmlns:a16="http://schemas.microsoft.com/office/drawing/2014/main" id="{47906599-2E94-48D0-A4A4-587556679F8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8" name="AutoShape 3" descr="https://www.sreality.cz/img/icon-phone.svg">
          <a:extLst>
            <a:ext uri="{FF2B5EF4-FFF2-40B4-BE49-F238E27FC236}">
              <a16:creationId xmlns:a16="http://schemas.microsoft.com/office/drawing/2014/main" id="{B7F27460-B1D6-437F-9D0B-CCA25E1532E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99" name="AutoShape 3" descr="https://www.sreality.cz/img/icon-phone.svg">
          <a:extLst>
            <a:ext uri="{FF2B5EF4-FFF2-40B4-BE49-F238E27FC236}">
              <a16:creationId xmlns:a16="http://schemas.microsoft.com/office/drawing/2014/main" id="{471032CE-304A-4368-BD9E-418C98354D0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0" name="AutoShape 3" descr="https://www.sreality.cz/img/icon-phone.svg">
          <a:extLst>
            <a:ext uri="{FF2B5EF4-FFF2-40B4-BE49-F238E27FC236}">
              <a16:creationId xmlns:a16="http://schemas.microsoft.com/office/drawing/2014/main" id="{E1406CED-B160-4AC0-8ED6-67B3F41F1D2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1" name="AutoShape 3" descr="https://www.sreality.cz/img/icon-phone.svg">
          <a:extLst>
            <a:ext uri="{FF2B5EF4-FFF2-40B4-BE49-F238E27FC236}">
              <a16:creationId xmlns:a16="http://schemas.microsoft.com/office/drawing/2014/main" id="{5CFD5449-29ED-43FA-8BB5-289311614AC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2" name="AutoShape 3" descr="https://www.sreality.cz/img/icon-phone.svg">
          <a:extLst>
            <a:ext uri="{FF2B5EF4-FFF2-40B4-BE49-F238E27FC236}">
              <a16:creationId xmlns:a16="http://schemas.microsoft.com/office/drawing/2014/main" id="{826694B1-8518-4A48-9645-E8EB1CC3C5D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3" name="AutoShape 3" descr="https://www.sreality.cz/img/icon-phone.svg">
          <a:extLst>
            <a:ext uri="{FF2B5EF4-FFF2-40B4-BE49-F238E27FC236}">
              <a16:creationId xmlns:a16="http://schemas.microsoft.com/office/drawing/2014/main" id="{4166A4E0-FD56-411A-BEF4-7CCEDD9810C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4" name="AutoShape 3" descr="https://www.sreality.cz/img/icon-phone.svg">
          <a:extLst>
            <a:ext uri="{FF2B5EF4-FFF2-40B4-BE49-F238E27FC236}">
              <a16:creationId xmlns:a16="http://schemas.microsoft.com/office/drawing/2014/main" id="{13F74FB7-0E49-40B1-AC29-12E0B61B198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5" name="AutoShape 3" descr="https://www.sreality.cz/img/icon-phone.svg">
          <a:extLst>
            <a:ext uri="{FF2B5EF4-FFF2-40B4-BE49-F238E27FC236}">
              <a16:creationId xmlns:a16="http://schemas.microsoft.com/office/drawing/2014/main" id="{845E853A-EA5C-4201-AAAD-D5AD6295051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6" name="AutoShape 3" descr="https://www.sreality.cz/img/icon-phone.svg">
          <a:extLst>
            <a:ext uri="{FF2B5EF4-FFF2-40B4-BE49-F238E27FC236}">
              <a16:creationId xmlns:a16="http://schemas.microsoft.com/office/drawing/2014/main" id="{F860A293-13DB-40C8-A671-B26555DB2F5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7" name="AutoShape 3" descr="https://www.sreality.cz/img/icon-phone.svg">
          <a:extLst>
            <a:ext uri="{FF2B5EF4-FFF2-40B4-BE49-F238E27FC236}">
              <a16:creationId xmlns:a16="http://schemas.microsoft.com/office/drawing/2014/main" id="{DE62ABAC-E549-48FC-A683-CE99421CEB2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8" name="AutoShape 3" descr="https://www.sreality.cz/img/icon-phone.svg">
          <a:extLst>
            <a:ext uri="{FF2B5EF4-FFF2-40B4-BE49-F238E27FC236}">
              <a16:creationId xmlns:a16="http://schemas.microsoft.com/office/drawing/2014/main" id="{5153A075-A09E-4144-BC29-C32C01106CD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09" name="AutoShape 3" descr="https://www.sreality.cz/img/icon-phone.svg">
          <a:extLst>
            <a:ext uri="{FF2B5EF4-FFF2-40B4-BE49-F238E27FC236}">
              <a16:creationId xmlns:a16="http://schemas.microsoft.com/office/drawing/2014/main" id="{2C53EEEB-5EC5-4CC2-9131-1E750607EE0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0" name="AutoShape 3" descr="https://www.sreality.cz/img/icon-phone.svg">
          <a:extLst>
            <a:ext uri="{FF2B5EF4-FFF2-40B4-BE49-F238E27FC236}">
              <a16:creationId xmlns:a16="http://schemas.microsoft.com/office/drawing/2014/main" id="{4A86DA7C-9DC3-46C1-AE4C-6378817576C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1" name="AutoShape 3" descr="https://www.sreality.cz/img/icon-phone.svg">
          <a:extLst>
            <a:ext uri="{FF2B5EF4-FFF2-40B4-BE49-F238E27FC236}">
              <a16:creationId xmlns:a16="http://schemas.microsoft.com/office/drawing/2014/main" id="{1EC9748C-DF2C-40BF-B2D2-F60CE08AC52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2" name="AutoShape 3" descr="https://www.sreality.cz/img/icon-phone.svg">
          <a:extLst>
            <a:ext uri="{FF2B5EF4-FFF2-40B4-BE49-F238E27FC236}">
              <a16:creationId xmlns:a16="http://schemas.microsoft.com/office/drawing/2014/main" id="{BF37E971-C8B6-48F9-813A-CC0DE600695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3" name="AutoShape 3" descr="https://www.sreality.cz/img/icon-phone.svg">
          <a:extLst>
            <a:ext uri="{FF2B5EF4-FFF2-40B4-BE49-F238E27FC236}">
              <a16:creationId xmlns:a16="http://schemas.microsoft.com/office/drawing/2014/main" id="{2FC1C6DB-8282-48A2-BF1F-1718DB87051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4" name="AutoShape 3" descr="https://www.sreality.cz/img/icon-phone.svg">
          <a:extLst>
            <a:ext uri="{FF2B5EF4-FFF2-40B4-BE49-F238E27FC236}">
              <a16:creationId xmlns:a16="http://schemas.microsoft.com/office/drawing/2014/main" id="{3A961C12-ECC0-47C9-9A13-2288074749B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5" name="AutoShape 3" descr="https://www.sreality.cz/img/icon-phone.svg">
          <a:extLst>
            <a:ext uri="{FF2B5EF4-FFF2-40B4-BE49-F238E27FC236}">
              <a16:creationId xmlns:a16="http://schemas.microsoft.com/office/drawing/2014/main" id="{8ED49563-9747-430E-B3DF-DCC2C436356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6" name="AutoShape 3" descr="https://www.sreality.cz/img/icon-phone.svg">
          <a:extLst>
            <a:ext uri="{FF2B5EF4-FFF2-40B4-BE49-F238E27FC236}">
              <a16:creationId xmlns:a16="http://schemas.microsoft.com/office/drawing/2014/main" id="{79A902A1-8F05-41E6-AF35-AAA05E44AD1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7" name="AutoShape 3" descr="https://www.sreality.cz/img/icon-phone.svg">
          <a:extLst>
            <a:ext uri="{FF2B5EF4-FFF2-40B4-BE49-F238E27FC236}">
              <a16:creationId xmlns:a16="http://schemas.microsoft.com/office/drawing/2014/main" id="{0B018CC3-7D59-4725-85F0-03A697DD45C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8" name="AutoShape 3" descr="https://www.sreality.cz/img/icon-phone.svg">
          <a:extLst>
            <a:ext uri="{FF2B5EF4-FFF2-40B4-BE49-F238E27FC236}">
              <a16:creationId xmlns:a16="http://schemas.microsoft.com/office/drawing/2014/main" id="{AABA64F7-FCE1-4100-8784-987120793C5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19" name="AutoShape 3" descr="https://www.sreality.cz/img/icon-phone.svg">
          <a:extLst>
            <a:ext uri="{FF2B5EF4-FFF2-40B4-BE49-F238E27FC236}">
              <a16:creationId xmlns:a16="http://schemas.microsoft.com/office/drawing/2014/main" id="{18BDB40A-4DC3-44A4-80F6-18589601251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0" name="AutoShape 3" descr="https://www.sreality.cz/img/icon-phone.svg">
          <a:extLst>
            <a:ext uri="{FF2B5EF4-FFF2-40B4-BE49-F238E27FC236}">
              <a16:creationId xmlns:a16="http://schemas.microsoft.com/office/drawing/2014/main" id="{E0D63FAF-ECE0-4434-A000-1741709A9B4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8</xdr:row>
      <xdr:rowOff>23446</xdr:rowOff>
    </xdr:from>
    <xdr:ext cx="304800" cy="282393"/>
    <xdr:sp macro="" textlink="">
      <xdr:nvSpPr>
        <xdr:cNvPr id="121" name="AutoShape 3" descr="https://www.sreality.cz/img/icon-phone.svg">
          <a:extLst>
            <a:ext uri="{FF2B5EF4-FFF2-40B4-BE49-F238E27FC236}">
              <a16:creationId xmlns:a16="http://schemas.microsoft.com/office/drawing/2014/main" id="{0CF9E863-0095-4D51-A932-D5D3D77280E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122" name="AutoShape 3" descr="https://www.sreality.cz/img/icon-phone.svg">
          <a:extLst>
            <a:ext uri="{FF2B5EF4-FFF2-40B4-BE49-F238E27FC236}">
              <a16:creationId xmlns:a16="http://schemas.microsoft.com/office/drawing/2014/main" id="{2E2D837A-4F68-4AC0-961E-220AAE072C0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3" name="AutoShape 3" descr="https://www.sreality.cz/img/icon-phone.svg">
          <a:extLst>
            <a:ext uri="{FF2B5EF4-FFF2-40B4-BE49-F238E27FC236}">
              <a16:creationId xmlns:a16="http://schemas.microsoft.com/office/drawing/2014/main" id="{AF63C6BF-2D84-4A5D-87CF-750F4EF0C3D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4" name="AutoShape 3" descr="https://www.sreality.cz/img/icon-phone.svg">
          <a:extLst>
            <a:ext uri="{FF2B5EF4-FFF2-40B4-BE49-F238E27FC236}">
              <a16:creationId xmlns:a16="http://schemas.microsoft.com/office/drawing/2014/main" id="{3CC09F98-164D-439B-9466-D92C9537B27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5" name="AutoShape 3" descr="https://www.sreality.cz/img/icon-phone.svg">
          <a:extLst>
            <a:ext uri="{FF2B5EF4-FFF2-40B4-BE49-F238E27FC236}">
              <a16:creationId xmlns:a16="http://schemas.microsoft.com/office/drawing/2014/main" id="{F85C37FD-01D5-4A06-A04B-7AC2CF10929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6" name="AutoShape 3" descr="https://www.sreality.cz/img/icon-phone.svg">
          <a:extLst>
            <a:ext uri="{FF2B5EF4-FFF2-40B4-BE49-F238E27FC236}">
              <a16:creationId xmlns:a16="http://schemas.microsoft.com/office/drawing/2014/main" id="{CA92553E-FD21-4A45-9837-D492A907B6D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7" name="AutoShape 3" descr="https://www.sreality.cz/img/icon-phone.svg">
          <a:extLst>
            <a:ext uri="{FF2B5EF4-FFF2-40B4-BE49-F238E27FC236}">
              <a16:creationId xmlns:a16="http://schemas.microsoft.com/office/drawing/2014/main" id="{CC7AC569-2A4E-45BD-A6C3-63CA3F80513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8" name="AutoShape 3" descr="https://www.sreality.cz/img/icon-phone.svg">
          <a:extLst>
            <a:ext uri="{FF2B5EF4-FFF2-40B4-BE49-F238E27FC236}">
              <a16:creationId xmlns:a16="http://schemas.microsoft.com/office/drawing/2014/main" id="{12227AC0-5999-4911-86DD-6E17E3AD65B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29" name="AutoShape 3" descr="https://www.sreality.cz/img/icon-phone.svg">
          <a:extLst>
            <a:ext uri="{FF2B5EF4-FFF2-40B4-BE49-F238E27FC236}">
              <a16:creationId xmlns:a16="http://schemas.microsoft.com/office/drawing/2014/main" id="{48B66F19-4305-48E2-8D48-58643AE1D61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0" name="AutoShape 3" descr="https://www.sreality.cz/img/icon-phone.svg">
          <a:extLst>
            <a:ext uri="{FF2B5EF4-FFF2-40B4-BE49-F238E27FC236}">
              <a16:creationId xmlns:a16="http://schemas.microsoft.com/office/drawing/2014/main" id="{82CFC44C-2D8E-4AE4-A483-3310FCC2513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1" name="AutoShape 3" descr="https://www.sreality.cz/img/icon-phone.svg">
          <a:extLst>
            <a:ext uri="{FF2B5EF4-FFF2-40B4-BE49-F238E27FC236}">
              <a16:creationId xmlns:a16="http://schemas.microsoft.com/office/drawing/2014/main" id="{4393EFA6-BECB-48DA-9F79-46606966B99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2" name="AutoShape 3" descr="https://www.sreality.cz/img/icon-phone.svg">
          <a:extLst>
            <a:ext uri="{FF2B5EF4-FFF2-40B4-BE49-F238E27FC236}">
              <a16:creationId xmlns:a16="http://schemas.microsoft.com/office/drawing/2014/main" id="{3112385D-F434-44F4-B17D-481E0E1D6DF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3" name="AutoShape 3" descr="https://www.sreality.cz/img/icon-phone.svg">
          <a:extLst>
            <a:ext uri="{FF2B5EF4-FFF2-40B4-BE49-F238E27FC236}">
              <a16:creationId xmlns:a16="http://schemas.microsoft.com/office/drawing/2014/main" id="{CAD31F0F-A2B9-4B6F-9497-2031EEC4AE8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4" name="AutoShape 3" descr="https://www.sreality.cz/img/icon-phone.svg">
          <a:extLst>
            <a:ext uri="{FF2B5EF4-FFF2-40B4-BE49-F238E27FC236}">
              <a16:creationId xmlns:a16="http://schemas.microsoft.com/office/drawing/2014/main" id="{B4829C7C-6029-4D47-B8D9-824A4FFEDDE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5" name="AutoShape 3" descr="https://www.sreality.cz/img/icon-phone.svg">
          <a:extLst>
            <a:ext uri="{FF2B5EF4-FFF2-40B4-BE49-F238E27FC236}">
              <a16:creationId xmlns:a16="http://schemas.microsoft.com/office/drawing/2014/main" id="{377CB829-E0F7-4858-AEC5-CD170E822FB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6" name="AutoShape 3" descr="https://www.sreality.cz/img/icon-phone.svg">
          <a:extLst>
            <a:ext uri="{FF2B5EF4-FFF2-40B4-BE49-F238E27FC236}">
              <a16:creationId xmlns:a16="http://schemas.microsoft.com/office/drawing/2014/main" id="{5C10E0EE-FFD0-4BA8-8D2B-C15BB6C421B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7" name="AutoShape 3" descr="https://www.sreality.cz/img/icon-phone.svg">
          <a:extLst>
            <a:ext uri="{FF2B5EF4-FFF2-40B4-BE49-F238E27FC236}">
              <a16:creationId xmlns:a16="http://schemas.microsoft.com/office/drawing/2014/main" id="{C9AC8036-5D68-4B59-A0B5-1697DB763C2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8" name="AutoShape 3" descr="https://www.sreality.cz/img/icon-phone.svg">
          <a:extLst>
            <a:ext uri="{FF2B5EF4-FFF2-40B4-BE49-F238E27FC236}">
              <a16:creationId xmlns:a16="http://schemas.microsoft.com/office/drawing/2014/main" id="{C77447CB-30E9-403E-8A97-1BD2099FC9F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39" name="AutoShape 3" descr="https://www.sreality.cz/img/icon-phone.svg">
          <a:extLst>
            <a:ext uri="{FF2B5EF4-FFF2-40B4-BE49-F238E27FC236}">
              <a16:creationId xmlns:a16="http://schemas.microsoft.com/office/drawing/2014/main" id="{A1CB7B3F-C399-41A7-B004-0C8F73FFBA1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0" name="AutoShape 3" descr="https://www.sreality.cz/img/icon-phone.svg">
          <a:extLst>
            <a:ext uri="{FF2B5EF4-FFF2-40B4-BE49-F238E27FC236}">
              <a16:creationId xmlns:a16="http://schemas.microsoft.com/office/drawing/2014/main" id="{C81B8D7D-3E04-4A49-A711-E53DDBEE502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1" name="AutoShape 3" descr="https://www.sreality.cz/img/icon-phone.svg">
          <a:extLst>
            <a:ext uri="{FF2B5EF4-FFF2-40B4-BE49-F238E27FC236}">
              <a16:creationId xmlns:a16="http://schemas.microsoft.com/office/drawing/2014/main" id="{26DB7EB4-36B6-42FE-A252-96353331E2A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2" name="AutoShape 3" descr="https://www.sreality.cz/img/icon-phone.svg">
          <a:extLst>
            <a:ext uri="{FF2B5EF4-FFF2-40B4-BE49-F238E27FC236}">
              <a16:creationId xmlns:a16="http://schemas.microsoft.com/office/drawing/2014/main" id="{4A3E9B76-7107-4B4A-AAE8-A188B1B8033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3" name="AutoShape 3" descr="https://www.sreality.cz/img/icon-phone.svg">
          <a:extLst>
            <a:ext uri="{FF2B5EF4-FFF2-40B4-BE49-F238E27FC236}">
              <a16:creationId xmlns:a16="http://schemas.microsoft.com/office/drawing/2014/main" id="{F0843C19-1FC4-4412-8621-DC01D721B76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4" name="AutoShape 3" descr="https://www.sreality.cz/img/icon-phone.svg">
          <a:extLst>
            <a:ext uri="{FF2B5EF4-FFF2-40B4-BE49-F238E27FC236}">
              <a16:creationId xmlns:a16="http://schemas.microsoft.com/office/drawing/2014/main" id="{37AF52BC-5EDF-45AE-A3FF-6B8B0E19795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5" name="AutoShape 3" descr="https://www.sreality.cz/img/icon-phone.svg">
          <a:extLst>
            <a:ext uri="{FF2B5EF4-FFF2-40B4-BE49-F238E27FC236}">
              <a16:creationId xmlns:a16="http://schemas.microsoft.com/office/drawing/2014/main" id="{7408664C-E7FA-4992-A8C4-04D2B7B3927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6" name="AutoShape 3" descr="https://www.sreality.cz/img/icon-phone.svg">
          <a:extLst>
            <a:ext uri="{FF2B5EF4-FFF2-40B4-BE49-F238E27FC236}">
              <a16:creationId xmlns:a16="http://schemas.microsoft.com/office/drawing/2014/main" id="{B0EA4F3D-EFAD-446A-8CF8-A863117BF5F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7" name="AutoShape 3" descr="https://www.sreality.cz/img/icon-phone.svg">
          <a:extLst>
            <a:ext uri="{FF2B5EF4-FFF2-40B4-BE49-F238E27FC236}">
              <a16:creationId xmlns:a16="http://schemas.microsoft.com/office/drawing/2014/main" id="{63A56FC7-A1C6-4A17-8CED-3C1DCF9B0D8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8" name="AutoShape 3" descr="https://www.sreality.cz/img/icon-phone.svg">
          <a:extLst>
            <a:ext uri="{FF2B5EF4-FFF2-40B4-BE49-F238E27FC236}">
              <a16:creationId xmlns:a16="http://schemas.microsoft.com/office/drawing/2014/main" id="{46D0774D-DD4A-4B4C-B437-DFFE53CC5C9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49" name="AutoShape 3" descr="https://www.sreality.cz/img/icon-phone.svg">
          <a:extLst>
            <a:ext uri="{FF2B5EF4-FFF2-40B4-BE49-F238E27FC236}">
              <a16:creationId xmlns:a16="http://schemas.microsoft.com/office/drawing/2014/main" id="{5899616A-78AB-49B7-AAFC-039FCDFB147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0" name="AutoShape 3" descr="https://www.sreality.cz/img/icon-phone.svg">
          <a:extLst>
            <a:ext uri="{FF2B5EF4-FFF2-40B4-BE49-F238E27FC236}">
              <a16:creationId xmlns:a16="http://schemas.microsoft.com/office/drawing/2014/main" id="{7D3CA684-E32E-43EE-8493-4C935DFE565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151" name="AutoShape 3" descr="https://www.sreality.cz/img/icon-phone.svg">
          <a:extLst>
            <a:ext uri="{FF2B5EF4-FFF2-40B4-BE49-F238E27FC236}">
              <a16:creationId xmlns:a16="http://schemas.microsoft.com/office/drawing/2014/main" id="{93C5E6FE-036D-43F7-B257-6B7EABA53DD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10</xdr:row>
      <xdr:rowOff>23446</xdr:rowOff>
    </xdr:from>
    <xdr:ext cx="304800" cy="282393"/>
    <xdr:sp macro="" textlink="">
      <xdr:nvSpPr>
        <xdr:cNvPr id="152" name="AutoShape 3" descr="https://www.sreality.cz/img/icon-phone.svg">
          <a:extLst>
            <a:ext uri="{FF2B5EF4-FFF2-40B4-BE49-F238E27FC236}">
              <a16:creationId xmlns:a16="http://schemas.microsoft.com/office/drawing/2014/main" id="{122A1FCE-AF80-4CA9-8A28-E709C9CFFCD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3" name="AutoShape 3" descr="https://www.sreality.cz/img/icon-phone.svg">
          <a:extLst>
            <a:ext uri="{FF2B5EF4-FFF2-40B4-BE49-F238E27FC236}">
              <a16:creationId xmlns:a16="http://schemas.microsoft.com/office/drawing/2014/main" id="{CB8D57F7-562B-4D8B-9841-4C94507B734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4" name="AutoShape 3" descr="https://www.sreality.cz/img/icon-phone.svg">
          <a:extLst>
            <a:ext uri="{FF2B5EF4-FFF2-40B4-BE49-F238E27FC236}">
              <a16:creationId xmlns:a16="http://schemas.microsoft.com/office/drawing/2014/main" id="{F4660D77-1ABF-4495-81C4-5DD82F9C14F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5" name="AutoShape 3" descr="https://www.sreality.cz/img/icon-phone.svg">
          <a:extLst>
            <a:ext uri="{FF2B5EF4-FFF2-40B4-BE49-F238E27FC236}">
              <a16:creationId xmlns:a16="http://schemas.microsoft.com/office/drawing/2014/main" id="{8899B298-79D1-4C0B-B6B4-DDBB4BDC322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6" name="AutoShape 3" descr="https://www.sreality.cz/img/icon-phone.svg">
          <a:extLst>
            <a:ext uri="{FF2B5EF4-FFF2-40B4-BE49-F238E27FC236}">
              <a16:creationId xmlns:a16="http://schemas.microsoft.com/office/drawing/2014/main" id="{52636036-9022-4B11-8C99-090FB0788AB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7" name="AutoShape 3" descr="https://www.sreality.cz/img/icon-phone.svg">
          <a:extLst>
            <a:ext uri="{FF2B5EF4-FFF2-40B4-BE49-F238E27FC236}">
              <a16:creationId xmlns:a16="http://schemas.microsoft.com/office/drawing/2014/main" id="{8D94D372-22A0-4C23-A648-77715681352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8" name="AutoShape 3" descr="https://www.sreality.cz/img/icon-phone.svg">
          <a:extLst>
            <a:ext uri="{FF2B5EF4-FFF2-40B4-BE49-F238E27FC236}">
              <a16:creationId xmlns:a16="http://schemas.microsoft.com/office/drawing/2014/main" id="{56812492-81B6-4BEE-81DE-10EE804FB1C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59" name="AutoShape 3" descr="https://www.sreality.cz/img/icon-phone.svg">
          <a:extLst>
            <a:ext uri="{FF2B5EF4-FFF2-40B4-BE49-F238E27FC236}">
              <a16:creationId xmlns:a16="http://schemas.microsoft.com/office/drawing/2014/main" id="{BF34865C-73B8-4D3E-94E2-D8A0C567F95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0" name="AutoShape 3" descr="https://www.sreality.cz/img/icon-phone.svg">
          <a:extLst>
            <a:ext uri="{FF2B5EF4-FFF2-40B4-BE49-F238E27FC236}">
              <a16:creationId xmlns:a16="http://schemas.microsoft.com/office/drawing/2014/main" id="{07894F30-7582-4C2B-B5AE-2ED05551562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1" name="AutoShape 3" descr="https://www.sreality.cz/img/icon-phone.svg">
          <a:extLst>
            <a:ext uri="{FF2B5EF4-FFF2-40B4-BE49-F238E27FC236}">
              <a16:creationId xmlns:a16="http://schemas.microsoft.com/office/drawing/2014/main" id="{2B6674A4-8BD4-4FB0-A884-C893B207AA4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2" name="AutoShape 3" descr="https://www.sreality.cz/img/icon-phone.svg">
          <a:extLst>
            <a:ext uri="{FF2B5EF4-FFF2-40B4-BE49-F238E27FC236}">
              <a16:creationId xmlns:a16="http://schemas.microsoft.com/office/drawing/2014/main" id="{E61935FD-140B-4894-9767-C221014B545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3" name="AutoShape 3" descr="https://www.sreality.cz/img/icon-phone.svg">
          <a:extLst>
            <a:ext uri="{FF2B5EF4-FFF2-40B4-BE49-F238E27FC236}">
              <a16:creationId xmlns:a16="http://schemas.microsoft.com/office/drawing/2014/main" id="{BA8AF0C3-2913-4E7E-9F17-4F21E530C52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4" name="AutoShape 3" descr="https://www.sreality.cz/img/icon-phone.svg">
          <a:extLst>
            <a:ext uri="{FF2B5EF4-FFF2-40B4-BE49-F238E27FC236}">
              <a16:creationId xmlns:a16="http://schemas.microsoft.com/office/drawing/2014/main" id="{AD0F7831-E8BC-4DFD-9EF6-78F060A98B6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5" name="AutoShape 3" descr="https://www.sreality.cz/img/icon-phone.svg">
          <a:extLst>
            <a:ext uri="{FF2B5EF4-FFF2-40B4-BE49-F238E27FC236}">
              <a16:creationId xmlns:a16="http://schemas.microsoft.com/office/drawing/2014/main" id="{B62C43D9-6E31-4DA3-9485-3CCD2B9AE20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6" name="AutoShape 3" descr="https://www.sreality.cz/img/icon-phone.svg">
          <a:extLst>
            <a:ext uri="{FF2B5EF4-FFF2-40B4-BE49-F238E27FC236}">
              <a16:creationId xmlns:a16="http://schemas.microsoft.com/office/drawing/2014/main" id="{197BD2C8-B3D5-416F-908F-D9071235A5B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7" name="AutoShape 3" descr="https://www.sreality.cz/img/icon-phone.svg">
          <a:extLst>
            <a:ext uri="{FF2B5EF4-FFF2-40B4-BE49-F238E27FC236}">
              <a16:creationId xmlns:a16="http://schemas.microsoft.com/office/drawing/2014/main" id="{1225A183-B28D-48BE-8988-DEC3F9D8069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8" name="AutoShape 3" descr="https://www.sreality.cz/img/icon-phone.svg">
          <a:extLst>
            <a:ext uri="{FF2B5EF4-FFF2-40B4-BE49-F238E27FC236}">
              <a16:creationId xmlns:a16="http://schemas.microsoft.com/office/drawing/2014/main" id="{11FB1928-6435-48FC-992B-D6F6B60DB5F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69" name="AutoShape 3" descr="https://www.sreality.cz/img/icon-phone.svg">
          <a:extLst>
            <a:ext uri="{FF2B5EF4-FFF2-40B4-BE49-F238E27FC236}">
              <a16:creationId xmlns:a16="http://schemas.microsoft.com/office/drawing/2014/main" id="{6F5E6471-E337-4851-9AC0-4F088D1E6AF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70" name="AutoShape 3" descr="https://www.sreality.cz/img/icon-phone.svg">
          <a:extLst>
            <a:ext uri="{FF2B5EF4-FFF2-40B4-BE49-F238E27FC236}">
              <a16:creationId xmlns:a16="http://schemas.microsoft.com/office/drawing/2014/main" id="{C3FB54BD-DB7A-417D-BC31-BE8CE63DD8C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71" name="AutoShape 3" descr="https://www.sreality.cz/img/icon-phone.svg">
          <a:extLst>
            <a:ext uri="{FF2B5EF4-FFF2-40B4-BE49-F238E27FC236}">
              <a16:creationId xmlns:a16="http://schemas.microsoft.com/office/drawing/2014/main" id="{E18409CE-4BB3-4F19-A850-6B4330BEC3C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72" name="AutoShape 3" descr="https://www.sreality.cz/img/icon-phone.svg">
          <a:extLst>
            <a:ext uri="{FF2B5EF4-FFF2-40B4-BE49-F238E27FC236}">
              <a16:creationId xmlns:a16="http://schemas.microsoft.com/office/drawing/2014/main" id="{B7A4AB75-C739-4C94-BD87-EE2DF4DF57B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</xdr:row>
      <xdr:rowOff>23446</xdr:rowOff>
    </xdr:from>
    <xdr:ext cx="304800" cy="282393"/>
    <xdr:sp macro="" textlink="">
      <xdr:nvSpPr>
        <xdr:cNvPr id="173" name="AutoShape 3" descr="https://www.sreality.cz/img/icon-phone.svg">
          <a:extLst>
            <a:ext uri="{FF2B5EF4-FFF2-40B4-BE49-F238E27FC236}">
              <a16:creationId xmlns:a16="http://schemas.microsoft.com/office/drawing/2014/main" id="{C8865D0C-B365-4D7C-B158-E398CA9E127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</xdr:row>
      <xdr:rowOff>23446</xdr:rowOff>
    </xdr:from>
    <xdr:ext cx="304800" cy="282393"/>
    <xdr:sp macro="" textlink="">
      <xdr:nvSpPr>
        <xdr:cNvPr id="174" name="AutoShape 3" descr="https://www.sreality.cz/img/icon-phone.svg">
          <a:extLst>
            <a:ext uri="{FF2B5EF4-FFF2-40B4-BE49-F238E27FC236}">
              <a16:creationId xmlns:a16="http://schemas.microsoft.com/office/drawing/2014/main" id="{E7CCB3B0-5FC4-44AF-B2B6-D5CC97AA8E7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11</xdr:row>
      <xdr:rowOff>23446</xdr:rowOff>
    </xdr:from>
    <xdr:ext cx="304800" cy="282393"/>
    <xdr:sp macro="" textlink="">
      <xdr:nvSpPr>
        <xdr:cNvPr id="175" name="AutoShape 3" descr="https://www.sreality.cz/img/icon-phone.svg">
          <a:extLst>
            <a:ext uri="{FF2B5EF4-FFF2-40B4-BE49-F238E27FC236}">
              <a16:creationId xmlns:a16="http://schemas.microsoft.com/office/drawing/2014/main" id="{E4DED336-9D2B-4379-A90A-B4EEE5971FC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76" name="AutoShape 3" descr="https://www.sreality.cz/img/icon-phone.svg">
          <a:extLst>
            <a:ext uri="{FF2B5EF4-FFF2-40B4-BE49-F238E27FC236}">
              <a16:creationId xmlns:a16="http://schemas.microsoft.com/office/drawing/2014/main" id="{A598EC6B-9B9C-4302-B8C0-4A3904A1840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77" name="AutoShape 3" descr="https://www.sreality.cz/img/icon-phone.svg">
          <a:extLst>
            <a:ext uri="{FF2B5EF4-FFF2-40B4-BE49-F238E27FC236}">
              <a16:creationId xmlns:a16="http://schemas.microsoft.com/office/drawing/2014/main" id="{673D7BCA-B6D8-4C0E-94B4-1E8245C84DD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78" name="AutoShape 3" descr="https://www.sreality.cz/img/icon-phone.svg">
          <a:extLst>
            <a:ext uri="{FF2B5EF4-FFF2-40B4-BE49-F238E27FC236}">
              <a16:creationId xmlns:a16="http://schemas.microsoft.com/office/drawing/2014/main" id="{7C0B996B-11E8-4FD1-B204-0A52373EB3A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79" name="AutoShape 3" descr="https://www.sreality.cz/img/icon-phone.svg">
          <a:extLst>
            <a:ext uri="{FF2B5EF4-FFF2-40B4-BE49-F238E27FC236}">
              <a16:creationId xmlns:a16="http://schemas.microsoft.com/office/drawing/2014/main" id="{D8894597-1108-4D17-815E-282787243AF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0" name="AutoShape 3" descr="https://www.sreality.cz/img/icon-phone.svg">
          <a:extLst>
            <a:ext uri="{FF2B5EF4-FFF2-40B4-BE49-F238E27FC236}">
              <a16:creationId xmlns:a16="http://schemas.microsoft.com/office/drawing/2014/main" id="{859C19A0-7B94-40F6-AED3-D7BBE17B29A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1" name="AutoShape 3" descr="https://www.sreality.cz/img/icon-phone.svg">
          <a:extLst>
            <a:ext uri="{FF2B5EF4-FFF2-40B4-BE49-F238E27FC236}">
              <a16:creationId xmlns:a16="http://schemas.microsoft.com/office/drawing/2014/main" id="{317661E3-1795-44C3-BF62-42D2A5801C3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2" name="AutoShape 3" descr="https://www.sreality.cz/img/icon-phone.svg">
          <a:extLst>
            <a:ext uri="{FF2B5EF4-FFF2-40B4-BE49-F238E27FC236}">
              <a16:creationId xmlns:a16="http://schemas.microsoft.com/office/drawing/2014/main" id="{77918A5F-14AF-46B8-96FA-68033C6C950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3" name="AutoShape 3" descr="https://www.sreality.cz/img/icon-phone.svg">
          <a:extLst>
            <a:ext uri="{FF2B5EF4-FFF2-40B4-BE49-F238E27FC236}">
              <a16:creationId xmlns:a16="http://schemas.microsoft.com/office/drawing/2014/main" id="{F1FAAF99-728D-4B47-BC0E-C91A58DAE91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4" name="AutoShape 3" descr="https://www.sreality.cz/img/icon-phone.svg">
          <a:extLst>
            <a:ext uri="{FF2B5EF4-FFF2-40B4-BE49-F238E27FC236}">
              <a16:creationId xmlns:a16="http://schemas.microsoft.com/office/drawing/2014/main" id="{A52C1BDF-E010-47DC-8997-A9D47CBAE48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5" name="AutoShape 3" descr="https://www.sreality.cz/img/icon-phone.svg">
          <a:extLst>
            <a:ext uri="{FF2B5EF4-FFF2-40B4-BE49-F238E27FC236}">
              <a16:creationId xmlns:a16="http://schemas.microsoft.com/office/drawing/2014/main" id="{A7D310F9-B940-4D88-95FE-C9AB18DE277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6" name="AutoShape 3" descr="https://www.sreality.cz/img/icon-phone.svg">
          <a:extLst>
            <a:ext uri="{FF2B5EF4-FFF2-40B4-BE49-F238E27FC236}">
              <a16:creationId xmlns:a16="http://schemas.microsoft.com/office/drawing/2014/main" id="{CD000E15-3F67-4481-A715-7D45E3CDB4C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7" name="AutoShape 3" descr="https://www.sreality.cz/img/icon-phone.svg">
          <a:extLst>
            <a:ext uri="{FF2B5EF4-FFF2-40B4-BE49-F238E27FC236}">
              <a16:creationId xmlns:a16="http://schemas.microsoft.com/office/drawing/2014/main" id="{C0F8797F-6F4B-4050-8548-6528836A14E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8" name="AutoShape 3" descr="https://www.sreality.cz/img/icon-phone.svg">
          <a:extLst>
            <a:ext uri="{FF2B5EF4-FFF2-40B4-BE49-F238E27FC236}">
              <a16:creationId xmlns:a16="http://schemas.microsoft.com/office/drawing/2014/main" id="{B719BF7D-7759-4569-B08C-D8908683899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89" name="AutoShape 3" descr="https://www.sreality.cz/img/icon-phone.svg">
          <a:extLst>
            <a:ext uri="{FF2B5EF4-FFF2-40B4-BE49-F238E27FC236}">
              <a16:creationId xmlns:a16="http://schemas.microsoft.com/office/drawing/2014/main" id="{98760C81-47DB-4CFD-AED2-33707522694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0" name="AutoShape 3" descr="https://www.sreality.cz/img/icon-phone.svg">
          <a:extLst>
            <a:ext uri="{FF2B5EF4-FFF2-40B4-BE49-F238E27FC236}">
              <a16:creationId xmlns:a16="http://schemas.microsoft.com/office/drawing/2014/main" id="{AA495299-A127-474F-9780-54BCE925AEA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1" name="AutoShape 3" descr="https://www.sreality.cz/img/icon-phone.svg">
          <a:extLst>
            <a:ext uri="{FF2B5EF4-FFF2-40B4-BE49-F238E27FC236}">
              <a16:creationId xmlns:a16="http://schemas.microsoft.com/office/drawing/2014/main" id="{13E47557-FAA9-43BE-B518-BE3D08089CB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2" name="AutoShape 3" descr="https://www.sreality.cz/img/icon-phone.svg">
          <a:extLst>
            <a:ext uri="{FF2B5EF4-FFF2-40B4-BE49-F238E27FC236}">
              <a16:creationId xmlns:a16="http://schemas.microsoft.com/office/drawing/2014/main" id="{20375A6C-75F6-4BBF-82EF-2BBE765AB76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3" name="AutoShape 3" descr="https://www.sreality.cz/img/icon-phone.svg">
          <a:extLst>
            <a:ext uri="{FF2B5EF4-FFF2-40B4-BE49-F238E27FC236}">
              <a16:creationId xmlns:a16="http://schemas.microsoft.com/office/drawing/2014/main" id="{89FEDC4A-B286-417C-9B02-6C193425E46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4" name="AutoShape 3" descr="https://www.sreality.cz/img/icon-phone.svg">
          <a:extLst>
            <a:ext uri="{FF2B5EF4-FFF2-40B4-BE49-F238E27FC236}">
              <a16:creationId xmlns:a16="http://schemas.microsoft.com/office/drawing/2014/main" id="{AFE1A375-489F-42E6-A1C4-0BD57158971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5" name="AutoShape 3" descr="https://www.sreality.cz/img/icon-phone.svg">
          <a:extLst>
            <a:ext uri="{FF2B5EF4-FFF2-40B4-BE49-F238E27FC236}">
              <a16:creationId xmlns:a16="http://schemas.microsoft.com/office/drawing/2014/main" id="{3423FA5C-B467-4965-BC09-417985BB4F8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6" name="AutoShape 3" descr="https://www.sreality.cz/img/icon-phone.svg">
          <a:extLst>
            <a:ext uri="{FF2B5EF4-FFF2-40B4-BE49-F238E27FC236}">
              <a16:creationId xmlns:a16="http://schemas.microsoft.com/office/drawing/2014/main" id="{C5DB2D54-71D4-4EE2-B24F-76E9C379AA3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7" name="AutoShape 3" descr="https://www.sreality.cz/img/icon-phone.svg">
          <a:extLst>
            <a:ext uri="{FF2B5EF4-FFF2-40B4-BE49-F238E27FC236}">
              <a16:creationId xmlns:a16="http://schemas.microsoft.com/office/drawing/2014/main" id="{38E8F6DE-060F-4EB3-827A-BF3E61BB345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8" name="AutoShape 3" descr="https://www.sreality.cz/img/icon-phone.svg">
          <a:extLst>
            <a:ext uri="{FF2B5EF4-FFF2-40B4-BE49-F238E27FC236}">
              <a16:creationId xmlns:a16="http://schemas.microsoft.com/office/drawing/2014/main" id="{8FF298A4-9915-49C9-9BC3-9CF7EA1E000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199" name="AutoShape 3" descr="https://www.sreality.cz/img/icon-phone.svg">
          <a:extLst>
            <a:ext uri="{FF2B5EF4-FFF2-40B4-BE49-F238E27FC236}">
              <a16:creationId xmlns:a16="http://schemas.microsoft.com/office/drawing/2014/main" id="{7B73F410-5FD9-4B4E-8C3A-FC7EE5A2C44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0" name="AutoShape 3" descr="https://www.sreality.cz/img/icon-phone.svg">
          <a:extLst>
            <a:ext uri="{FF2B5EF4-FFF2-40B4-BE49-F238E27FC236}">
              <a16:creationId xmlns:a16="http://schemas.microsoft.com/office/drawing/2014/main" id="{24923084-6F5D-49E6-A0B8-C96D25E5C6F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1" name="AutoShape 3" descr="https://www.sreality.cz/img/icon-phone.svg">
          <a:extLst>
            <a:ext uri="{FF2B5EF4-FFF2-40B4-BE49-F238E27FC236}">
              <a16:creationId xmlns:a16="http://schemas.microsoft.com/office/drawing/2014/main" id="{18C629C8-F0FC-412F-97A3-5D60F74F173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2" name="AutoShape 3" descr="https://www.sreality.cz/img/icon-phone.svg">
          <a:extLst>
            <a:ext uri="{FF2B5EF4-FFF2-40B4-BE49-F238E27FC236}">
              <a16:creationId xmlns:a16="http://schemas.microsoft.com/office/drawing/2014/main" id="{093683F0-627C-427F-A395-FFCA797F311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3" name="AutoShape 3" descr="https://www.sreality.cz/img/icon-phone.svg">
          <a:extLst>
            <a:ext uri="{FF2B5EF4-FFF2-40B4-BE49-F238E27FC236}">
              <a16:creationId xmlns:a16="http://schemas.microsoft.com/office/drawing/2014/main" id="{63D0B861-8236-4025-A9A5-AF51D31367D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4" name="AutoShape 3" descr="https://www.sreality.cz/img/icon-phone.svg">
          <a:extLst>
            <a:ext uri="{FF2B5EF4-FFF2-40B4-BE49-F238E27FC236}">
              <a16:creationId xmlns:a16="http://schemas.microsoft.com/office/drawing/2014/main" id="{51089790-B0A4-4F8E-BF7C-0FD8820B586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5" name="AutoShape 3" descr="https://www.sreality.cz/img/icon-phone.svg">
          <a:extLst>
            <a:ext uri="{FF2B5EF4-FFF2-40B4-BE49-F238E27FC236}">
              <a16:creationId xmlns:a16="http://schemas.microsoft.com/office/drawing/2014/main" id="{31F0BA8A-0B1C-4DB9-8763-A8B56E32BD4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6" name="AutoShape 3" descr="https://www.sreality.cz/img/icon-phone.svg">
          <a:extLst>
            <a:ext uri="{FF2B5EF4-FFF2-40B4-BE49-F238E27FC236}">
              <a16:creationId xmlns:a16="http://schemas.microsoft.com/office/drawing/2014/main" id="{3616ECEF-B617-4992-A21A-F657A0C8E4B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7" name="AutoShape 3" descr="https://www.sreality.cz/img/icon-phone.svg">
          <a:extLst>
            <a:ext uri="{FF2B5EF4-FFF2-40B4-BE49-F238E27FC236}">
              <a16:creationId xmlns:a16="http://schemas.microsoft.com/office/drawing/2014/main" id="{B91DD588-7E90-4572-B968-DFB3F7F9404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8" name="AutoShape 3" descr="https://www.sreality.cz/img/icon-phone.svg">
          <a:extLst>
            <a:ext uri="{FF2B5EF4-FFF2-40B4-BE49-F238E27FC236}">
              <a16:creationId xmlns:a16="http://schemas.microsoft.com/office/drawing/2014/main" id="{2B905CE2-344E-4376-BE6D-DC4073832FC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09" name="AutoShape 3" descr="https://www.sreality.cz/img/icon-phone.svg">
          <a:extLst>
            <a:ext uri="{FF2B5EF4-FFF2-40B4-BE49-F238E27FC236}">
              <a16:creationId xmlns:a16="http://schemas.microsoft.com/office/drawing/2014/main" id="{D52851AB-E36A-49E8-9859-5E605216941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0" name="AutoShape 3" descr="https://www.sreality.cz/img/icon-phone.svg">
          <a:extLst>
            <a:ext uri="{FF2B5EF4-FFF2-40B4-BE49-F238E27FC236}">
              <a16:creationId xmlns:a16="http://schemas.microsoft.com/office/drawing/2014/main" id="{6AB50B63-EA20-48FA-9A72-1C25F90491E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1" name="AutoShape 3" descr="https://www.sreality.cz/img/icon-phone.svg">
          <a:extLst>
            <a:ext uri="{FF2B5EF4-FFF2-40B4-BE49-F238E27FC236}">
              <a16:creationId xmlns:a16="http://schemas.microsoft.com/office/drawing/2014/main" id="{DFCC226A-8FE3-4B9A-B45B-55E7F46792C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2" name="AutoShape 3" descr="https://www.sreality.cz/img/icon-phone.svg">
          <a:extLst>
            <a:ext uri="{FF2B5EF4-FFF2-40B4-BE49-F238E27FC236}">
              <a16:creationId xmlns:a16="http://schemas.microsoft.com/office/drawing/2014/main" id="{F13BE34B-A0A1-4360-980E-968FF115E83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3" name="AutoShape 3" descr="https://www.sreality.cz/img/icon-phone.svg">
          <a:extLst>
            <a:ext uri="{FF2B5EF4-FFF2-40B4-BE49-F238E27FC236}">
              <a16:creationId xmlns:a16="http://schemas.microsoft.com/office/drawing/2014/main" id="{6BCBFCE5-5A66-4B66-AF08-BCA163F1955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4" name="AutoShape 3" descr="https://www.sreality.cz/img/icon-phone.svg">
          <a:extLst>
            <a:ext uri="{FF2B5EF4-FFF2-40B4-BE49-F238E27FC236}">
              <a16:creationId xmlns:a16="http://schemas.microsoft.com/office/drawing/2014/main" id="{DB1BC17E-2E1C-49C7-9DEB-F43798A4E63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5" name="AutoShape 3" descr="https://www.sreality.cz/img/icon-phone.svg">
          <a:extLst>
            <a:ext uri="{FF2B5EF4-FFF2-40B4-BE49-F238E27FC236}">
              <a16:creationId xmlns:a16="http://schemas.microsoft.com/office/drawing/2014/main" id="{D948F6A1-9A0D-4C9F-A326-F1B8CE3CAE8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6" name="AutoShape 3" descr="https://www.sreality.cz/img/icon-phone.svg">
          <a:extLst>
            <a:ext uri="{FF2B5EF4-FFF2-40B4-BE49-F238E27FC236}">
              <a16:creationId xmlns:a16="http://schemas.microsoft.com/office/drawing/2014/main" id="{775998B3-5915-46C0-B9D7-93461749713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7" name="AutoShape 3" descr="https://www.sreality.cz/img/icon-phone.svg">
          <a:extLst>
            <a:ext uri="{FF2B5EF4-FFF2-40B4-BE49-F238E27FC236}">
              <a16:creationId xmlns:a16="http://schemas.microsoft.com/office/drawing/2014/main" id="{D4E5985D-92E5-4122-8441-FE0DEFA12C6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8" name="AutoShape 3" descr="https://www.sreality.cz/img/icon-phone.svg">
          <a:extLst>
            <a:ext uri="{FF2B5EF4-FFF2-40B4-BE49-F238E27FC236}">
              <a16:creationId xmlns:a16="http://schemas.microsoft.com/office/drawing/2014/main" id="{2D00E2DE-5F1F-4DFF-BB4A-9ECCF09D413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19" name="AutoShape 3" descr="https://www.sreality.cz/img/icon-phone.svg">
          <a:extLst>
            <a:ext uri="{FF2B5EF4-FFF2-40B4-BE49-F238E27FC236}">
              <a16:creationId xmlns:a16="http://schemas.microsoft.com/office/drawing/2014/main" id="{59A3648A-18E2-4AAF-BC30-7C3F548539C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20" name="AutoShape 3" descr="https://www.sreality.cz/img/icon-phone.svg">
          <a:extLst>
            <a:ext uri="{FF2B5EF4-FFF2-40B4-BE49-F238E27FC236}">
              <a16:creationId xmlns:a16="http://schemas.microsoft.com/office/drawing/2014/main" id="{76589D12-51C9-486D-A836-5FCFD11DFDA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21" name="AutoShape 3" descr="https://www.sreality.cz/img/icon-phone.svg">
          <a:extLst>
            <a:ext uri="{FF2B5EF4-FFF2-40B4-BE49-F238E27FC236}">
              <a16:creationId xmlns:a16="http://schemas.microsoft.com/office/drawing/2014/main" id="{18AAB2C3-0A27-4D0D-8B29-E64F552D713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22" name="AutoShape 3" descr="https://www.sreality.cz/img/icon-phone.svg">
          <a:extLst>
            <a:ext uri="{FF2B5EF4-FFF2-40B4-BE49-F238E27FC236}">
              <a16:creationId xmlns:a16="http://schemas.microsoft.com/office/drawing/2014/main" id="{6C355F84-F503-4532-A417-364342E8B59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23" name="AutoShape 3" descr="https://www.sreality.cz/img/icon-phone.svg">
          <a:extLst>
            <a:ext uri="{FF2B5EF4-FFF2-40B4-BE49-F238E27FC236}">
              <a16:creationId xmlns:a16="http://schemas.microsoft.com/office/drawing/2014/main" id="{57CCF7EF-59BC-4DFC-8D4A-AC417B1FD56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4</xdr:row>
      <xdr:rowOff>23446</xdr:rowOff>
    </xdr:from>
    <xdr:ext cx="304800" cy="282393"/>
    <xdr:sp macro="" textlink="">
      <xdr:nvSpPr>
        <xdr:cNvPr id="224" name="AutoShape 3" descr="https://www.sreality.cz/img/icon-phone.svg">
          <a:extLst>
            <a:ext uri="{FF2B5EF4-FFF2-40B4-BE49-F238E27FC236}">
              <a16:creationId xmlns:a16="http://schemas.microsoft.com/office/drawing/2014/main" id="{995DE313-3D1B-49FB-BF2B-DD647D235B5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5</xdr:row>
      <xdr:rowOff>23446</xdr:rowOff>
    </xdr:from>
    <xdr:ext cx="304800" cy="282393"/>
    <xdr:sp macro="" textlink="">
      <xdr:nvSpPr>
        <xdr:cNvPr id="225" name="AutoShape 3" descr="https://www.sreality.cz/img/icon-phone.svg">
          <a:extLst>
            <a:ext uri="{FF2B5EF4-FFF2-40B4-BE49-F238E27FC236}">
              <a16:creationId xmlns:a16="http://schemas.microsoft.com/office/drawing/2014/main" id="{30531DE2-9269-4BAF-B2E7-E323BD21340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8</xdr:row>
      <xdr:rowOff>23446</xdr:rowOff>
    </xdr:from>
    <xdr:ext cx="304800" cy="282393"/>
    <xdr:sp macro="" textlink="">
      <xdr:nvSpPr>
        <xdr:cNvPr id="226" name="AutoShape 3" descr="https://www.sreality.cz/img/icon-phone.svg">
          <a:extLst>
            <a:ext uri="{FF2B5EF4-FFF2-40B4-BE49-F238E27FC236}">
              <a16:creationId xmlns:a16="http://schemas.microsoft.com/office/drawing/2014/main" id="{23C0BAC5-7C08-496B-8096-5294A07B40F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227" name="AutoShape 3" descr="https://www.sreality.cz/img/icon-phone.svg">
          <a:extLst>
            <a:ext uri="{FF2B5EF4-FFF2-40B4-BE49-F238E27FC236}">
              <a16:creationId xmlns:a16="http://schemas.microsoft.com/office/drawing/2014/main" id="{9C14F211-4043-4A97-9CB2-F053F40CF20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18</xdr:row>
      <xdr:rowOff>23446</xdr:rowOff>
    </xdr:from>
    <xdr:ext cx="304800" cy="282393"/>
    <xdr:sp macro="" textlink="">
      <xdr:nvSpPr>
        <xdr:cNvPr id="228" name="AutoShape 3" descr="https://www.sreality.cz/img/icon-phone.svg">
          <a:extLst>
            <a:ext uri="{FF2B5EF4-FFF2-40B4-BE49-F238E27FC236}">
              <a16:creationId xmlns:a16="http://schemas.microsoft.com/office/drawing/2014/main" id="{61DE08AC-575A-49AE-BD57-611AC6F6E8E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19</xdr:row>
      <xdr:rowOff>23446</xdr:rowOff>
    </xdr:from>
    <xdr:ext cx="304800" cy="282393"/>
    <xdr:sp macro="" textlink="">
      <xdr:nvSpPr>
        <xdr:cNvPr id="229" name="AutoShape 3" descr="https://www.sreality.cz/img/icon-phone.svg">
          <a:extLst>
            <a:ext uri="{FF2B5EF4-FFF2-40B4-BE49-F238E27FC236}">
              <a16:creationId xmlns:a16="http://schemas.microsoft.com/office/drawing/2014/main" id="{07281B24-9311-42D3-A1D9-12FC71C7F11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0" name="AutoShape 3" descr="https://www.sreality.cz/img/icon-phone.svg">
          <a:extLst>
            <a:ext uri="{FF2B5EF4-FFF2-40B4-BE49-F238E27FC236}">
              <a16:creationId xmlns:a16="http://schemas.microsoft.com/office/drawing/2014/main" id="{7985270C-341A-486E-8223-4FDB1C4A3D9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1" name="AutoShape 3" descr="https://www.sreality.cz/img/icon-phone.svg">
          <a:extLst>
            <a:ext uri="{FF2B5EF4-FFF2-40B4-BE49-F238E27FC236}">
              <a16:creationId xmlns:a16="http://schemas.microsoft.com/office/drawing/2014/main" id="{CFA51A3F-DD83-4B8E-A9BA-AB246DE060F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2" name="AutoShape 3" descr="https://www.sreality.cz/img/icon-phone.svg">
          <a:extLst>
            <a:ext uri="{FF2B5EF4-FFF2-40B4-BE49-F238E27FC236}">
              <a16:creationId xmlns:a16="http://schemas.microsoft.com/office/drawing/2014/main" id="{E54F9A5B-EC07-4178-A341-60A45F748E0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3" name="AutoShape 3" descr="https://www.sreality.cz/img/icon-phone.svg">
          <a:extLst>
            <a:ext uri="{FF2B5EF4-FFF2-40B4-BE49-F238E27FC236}">
              <a16:creationId xmlns:a16="http://schemas.microsoft.com/office/drawing/2014/main" id="{6DD59B97-1BCB-461E-A75E-73035C4C443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4" name="AutoShape 3" descr="https://www.sreality.cz/img/icon-phone.svg">
          <a:extLst>
            <a:ext uri="{FF2B5EF4-FFF2-40B4-BE49-F238E27FC236}">
              <a16:creationId xmlns:a16="http://schemas.microsoft.com/office/drawing/2014/main" id="{CB3D9B82-AB2C-48BF-B72A-3A236AF1C6A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5" name="AutoShape 3" descr="https://www.sreality.cz/img/icon-phone.svg">
          <a:extLst>
            <a:ext uri="{FF2B5EF4-FFF2-40B4-BE49-F238E27FC236}">
              <a16:creationId xmlns:a16="http://schemas.microsoft.com/office/drawing/2014/main" id="{5373FEB1-5653-4EA9-895A-4A3D9619138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6" name="AutoShape 3" descr="https://www.sreality.cz/img/icon-phone.svg">
          <a:extLst>
            <a:ext uri="{FF2B5EF4-FFF2-40B4-BE49-F238E27FC236}">
              <a16:creationId xmlns:a16="http://schemas.microsoft.com/office/drawing/2014/main" id="{6F699C28-2751-43F8-8201-6ECC236F4AF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7" name="AutoShape 3" descr="https://www.sreality.cz/img/icon-phone.svg">
          <a:extLst>
            <a:ext uri="{FF2B5EF4-FFF2-40B4-BE49-F238E27FC236}">
              <a16:creationId xmlns:a16="http://schemas.microsoft.com/office/drawing/2014/main" id="{4009A834-F8CE-46C0-9A81-F451A7A7DD0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8" name="AutoShape 3" descr="https://www.sreality.cz/img/icon-phone.svg">
          <a:extLst>
            <a:ext uri="{FF2B5EF4-FFF2-40B4-BE49-F238E27FC236}">
              <a16:creationId xmlns:a16="http://schemas.microsoft.com/office/drawing/2014/main" id="{B6201740-F9D8-4B41-9362-AE21F2FD2F0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39" name="AutoShape 3" descr="https://www.sreality.cz/img/icon-phone.svg">
          <a:extLst>
            <a:ext uri="{FF2B5EF4-FFF2-40B4-BE49-F238E27FC236}">
              <a16:creationId xmlns:a16="http://schemas.microsoft.com/office/drawing/2014/main" id="{5C2A351F-5E58-4C5B-A210-D591EE19A85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0" name="AutoShape 3" descr="https://www.sreality.cz/img/icon-phone.svg">
          <a:extLst>
            <a:ext uri="{FF2B5EF4-FFF2-40B4-BE49-F238E27FC236}">
              <a16:creationId xmlns:a16="http://schemas.microsoft.com/office/drawing/2014/main" id="{AFA40717-48CE-4C2F-BC2E-32179D90669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1" name="AutoShape 3" descr="https://www.sreality.cz/img/icon-phone.svg">
          <a:extLst>
            <a:ext uri="{FF2B5EF4-FFF2-40B4-BE49-F238E27FC236}">
              <a16:creationId xmlns:a16="http://schemas.microsoft.com/office/drawing/2014/main" id="{1D2FAF92-40C9-4ADC-A2B3-1C148A8580C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2" name="AutoShape 3" descr="https://www.sreality.cz/img/icon-phone.svg">
          <a:extLst>
            <a:ext uri="{FF2B5EF4-FFF2-40B4-BE49-F238E27FC236}">
              <a16:creationId xmlns:a16="http://schemas.microsoft.com/office/drawing/2014/main" id="{E2B9B5B2-F0EC-4CD7-B043-6C1C7581F3C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3" name="AutoShape 3" descr="https://www.sreality.cz/img/icon-phone.svg">
          <a:extLst>
            <a:ext uri="{FF2B5EF4-FFF2-40B4-BE49-F238E27FC236}">
              <a16:creationId xmlns:a16="http://schemas.microsoft.com/office/drawing/2014/main" id="{909280FB-0D5D-4921-B131-B1686030DF5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4" name="AutoShape 3" descr="https://www.sreality.cz/img/icon-phone.svg">
          <a:extLst>
            <a:ext uri="{FF2B5EF4-FFF2-40B4-BE49-F238E27FC236}">
              <a16:creationId xmlns:a16="http://schemas.microsoft.com/office/drawing/2014/main" id="{2A6F82ED-11B5-4091-9236-BB356ADC7C5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5" name="AutoShape 3" descr="https://www.sreality.cz/img/icon-phone.svg">
          <a:extLst>
            <a:ext uri="{FF2B5EF4-FFF2-40B4-BE49-F238E27FC236}">
              <a16:creationId xmlns:a16="http://schemas.microsoft.com/office/drawing/2014/main" id="{BE6B481F-1542-4AB4-9D91-FFD2F73D247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6" name="AutoShape 3" descr="https://www.sreality.cz/img/icon-phone.svg">
          <a:extLst>
            <a:ext uri="{FF2B5EF4-FFF2-40B4-BE49-F238E27FC236}">
              <a16:creationId xmlns:a16="http://schemas.microsoft.com/office/drawing/2014/main" id="{622CE93B-99A1-4E9F-9675-1EC0EB356EF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7" name="AutoShape 3" descr="https://www.sreality.cz/img/icon-phone.svg">
          <a:extLst>
            <a:ext uri="{FF2B5EF4-FFF2-40B4-BE49-F238E27FC236}">
              <a16:creationId xmlns:a16="http://schemas.microsoft.com/office/drawing/2014/main" id="{0C1FF888-079C-449C-81D2-7FE3B5A4206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8" name="AutoShape 3" descr="https://www.sreality.cz/img/icon-phone.svg">
          <a:extLst>
            <a:ext uri="{FF2B5EF4-FFF2-40B4-BE49-F238E27FC236}">
              <a16:creationId xmlns:a16="http://schemas.microsoft.com/office/drawing/2014/main" id="{C555FEA7-D929-4450-B160-92090E1F7DC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49" name="AutoShape 3" descr="https://www.sreality.cz/img/icon-phone.svg">
          <a:extLst>
            <a:ext uri="{FF2B5EF4-FFF2-40B4-BE49-F238E27FC236}">
              <a16:creationId xmlns:a16="http://schemas.microsoft.com/office/drawing/2014/main" id="{25A14037-2078-4C2E-880A-689B1F99632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0" name="AutoShape 3" descr="https://www.sreality.cz/img/icon-phone.svg">
          <a:extLst>
            <a:ext uri="{FF2B5EF4-FFF2-40B4-BE49-F238E27FC236}">
              <a16:creationId xmlns:a16="http://schemas.microsoft.com/office/drawing/2014/main" id="{A51A0155-3955-41A5-93D1-B4C1101B0B3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1" name="AutoShape 3" descr="https://www.sreality.cz/img/icon-phone.svg">
          <a:extLst>
            <a:ext uri="{FF2B5EF4-FFF2-40B4-BE49-F238E27FC236}">
              <a16:creationId xmlns:a16="http://schemas.microsoft.com/office/drawing/2014/main" id="{F7A15377-CA91-4436-8BF9-25653203E5F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2" name="AutoShape 3" descr="https://www.sreality.cz/img/icon-phone.svg">
          <a:extLst>
            <a:ext uri="{FF2B5EF4-FFF2-40B4-BE49-F238E27FC236}">
              <a16:creationId xmlns:a16="http://schemas.microsoft.com/office/drawing/2014/main" id="{5545511E-D8A4-42D2-919A-3560C89F2DA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3" name="AutoShape 3" descr="https://www.sreality.cz/img/icon-phone.svg">
          <a:extLst>
            <a:ext uri="{FF2B5EF4-FFF2-40B4-BE49-F238E27FC236}">
              <a16:creationId xmlns:a16="http://schemas.microsoft.com/office/drawing/2014/main" id="{662DF332-D40D-4F7D-8B44-883BA5D9670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4" name="AutoShape 3" descr="https://www.sreality.cz/img/icon-phone.svg">
          <a:extLst>
            <a:ext uri="{FF2B5EF4-FFF2-40B4-BE49-F238E27FC236}">
              <a16:creationId xmlns:a16="http://schemas.microsoft.com/office/drawing/2014/main" id="{D935C1CE-FB7D-4814-AD6D-A648EFA4CD1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5" name="AutoShape 3" descr="https://www.sreality.cz/img/icon-phone.svg">
          <a:extLst>
            <a:ext uri="{FF2B5EF4-FFF2-40B4-BE49-F238E27FC236}">
              <a16:creationId xmlns:a16="http://schemas.microsoft.com/office/drawing/2014/main" id="{30428EEC-E2F9-4399-A29E-2E8DB307789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6" name="AutoShape 3" descr="https://www.sreality.cz/img/icon-phone.svg">
          <a:extLst>
            <a:ext uri="{FF2B5EF4-FFF2-40B4-BE49-F238E27FC236}">
              <a16:creationId xmlns:a16="http://schemas.microsoft.com/office/drawing/2014/main" id="{CC40D70F-1D37-4E5A-BE52-E0AC17B84A0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7" name="AutoShape 3" descr="https://www.sreality.cz/img/icon-phone.svg">
          <a:extLst>
            <a:ext uri="{FF2B5EF4-FFF2-40B4-BE49-F238E27FC236}">
              <a16:creationId xmlns:a16="http://schemas.microsoft.com/office/drawing/2014/main" id="{136951B7-3910-4657-876B-224E6D793AB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8" name="AutoShape 3" descr="https://www.sreality.cz/img/icon-phone.svg">
          <a:extLst>
            <a:ext uri="{FF2B5EF4-FFF2-40B4-BE49-F238E27FC236}">
              <a16:creationId xmlns:a16="http://schemas.microsoft.com/office/drawing/2014/main" id="{6E6904E0-EB1A-42B2-B7A6-0825F2953DE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59" name="AutoShape 3" descr="https://www.sreality.cz/img/icon-phone.svg">
          <a:extLst>
            <a:ext uri="{FF2B5EF4-FFF2-40B4-BE49-F238E27FC236}">
              <a16:creationId xmlns:a16="http://schemas.microsoft.com/office/drawing/2014/main" id="{8D325F55-D9AC-41C8-B1F4-90922BD3595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60" name="AutoShape 3" descr="https://www.sreality.cz/img/icon-phone.svg">
          <a:extLst>
            <a:ext uri="{FF2B5EF4-FFF2-40B4-BE49-F238E27FC236}">
              <a16:creationId xmlns:a16="http://schemas.microsoft.com/office/drawing/2014/main" id="{14A16097-8D03-44B4-B02C-4E4BA42B43B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</xdr:row>
      <xdr:rowOff>23446</xdr:rowOff>
    </xdr:from>
    <xdr:ext cx="304800" cy="282393"/>
    <xdr:sp macro="" textlink="">
      <xdr:nvSpPr>
        <xdr:cNvPr id="261" name="AutoShape 3" descr="https://www.sreality.cz/img/icon-phone.svg">
          <a:extLst>
            <a:ext uri="{FF2B5EF4-FFF2-40B4-BE49-F238E27FC236}">
              <a16:creationId xmlns:a16="http://schemas.microsoft.com/office/drawing/2014/main" id="{94C57FD2-FEE1-48D4-8D0A-C4C17AE86FF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</xdr:row>
      <xdr:rowOff>23446</xdr:rowOff>
    </xdr:from>
    <xdr:ext cx="304800" cy="282393"/>
    <xdr:sp macro="" textlink="">
      <xdr:nvSpPr>
        <xdr:cNvPr id="262" name="AutoShape 3" descr="https://www.sreality.cz/img/icon-phone.svg">
          <a:extLst>
            <a:ext uri="{FF2B5EF4-FFF2-40B4-BE49-F238E27FC236}">
              <a16:creationId xmlns:a16="http://schemas.microsoft.com/office/drawing/2014/main" id="{012F4731-4B6B-4AA6-91A8-EA98A56027A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63" name="AutoShape 3" descr="https://www.sreality.cz/img/icon-phone.svg">
          <a:extLst>
            <a:ext uri="{FF2B5EF4-FFF2-40B4-BE49-F238E27FC236}">
              <a16:creationId xmlns:a16="http://schemas.microsoft.com/office/drawing/2014/main" id="{9288661B-CD41-4734-BE4E-06EA0A5C056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64" name="AutoShape 3" descr="https://www.sreality.cz/img/icon-phone.svg">
          <a:extLst>
            <a:ext uri="{FF2B5EF4-FFF2-40B4-BE49-F238E27FC236}">
              <a16:creationId xmlns:a16="http://schemas.microsoft.com/office/drawing/2014/main" id="{4026A16A-185D-4789-8D79-2C9021173AF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65" name="AutoShape 3" descr="https://www.sreality.cz/img/icon-phone.svg">
          <a:extLst>
            <a:ext uri="{FF2B5EF4-FFF2-40B4-BE49-F238E27FC236}">
              <a16:creationId xmlns:a16="http://schemas.microsoft.com/office/drawing/2014/main" id="{053E128D-616C-4395-BC5E-2E57DC3CEBF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66" name="AutoShape 3" descr="https://www.sreality.cz/img/icon-phone.svg">
          <a:extLst>
            <a:ext uri="{FF2B5EF4-FFF2-40B4-BE49-F238E27FC236}">
              <a16:creationId xmlns:a16="http://schemas.microsoft.com/office/drawing/2014/main" id="{1A0BA59F-9FDE-43EC-BB9B-E1D1E3F4902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67" name="AutoShape 3" descr="https://www.sreality.cz/img/icon-phone.svg">
          <a:extLst>
            <a:ext uri="{FF2B5EF4-FFF2-40B4-BE49-F238E27FC236}">
              <a16:creationId xmlns:a16="http://schemas.microsoft.com/office/drawing/2014/main" id="{3D555D27-1A41-4AF4-8011-6CDAB746FAB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68" name="AutoShape 3" descr="https://www.sreality.cz/img/icon-phone.svg">
          <a:extLst>
            <a:ext uri="{FF2B5EF4-FFF2-40B4-BE49-F238E27FC236}">
              <a16:creationId xmlns:a16="http://schemas.microsoft.com/office/drawing/2014/main" id="{317EF764-BFB7-4CF4-8CBD-6D28BC31355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6</xdr:row>
      <xdr:rowOff>23446</xdr:rowOff>
    </xdr:from>
    <xdr:ext cx="304800" cy="282393"/>
    <xdr:sp macro="" textlink="">
      <xdr:nvSpPr>
        <xdr:cNvPr id="269" name="AutoShape 3" descr="https://www.sreality.cz/img/icon-phone.svg">
          <a:extLst>
            <a:ext uri="{FF2B5EF4-FFF2-40B4-BE49-F238E27FC236}">
              <a16:creationId xmlns:a16="http://schemas.microsoft.com/office/drawing/2014/main" id="{D5F6B3EE-2910-4FD1-AE9F-52E818772D1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7</xdr:row>
      <xdr:rowOff>23446</xdr:rowOff>
    </xdr:from>
    <xdr:ext cx="304800" cy="282393"/>
    <xdr:sp macro="" textlink="">
      <xdr:nvSpPr>
        <xdr:cNvPr id="270" name="AutoShape 3" descr="https://www.sreality.cz/img/icon-phone.svg">
          <a:extLst>
            <a:ext uri="{FF2B5EF4-FFF2-40B4-BE49-F238E27FC236}">
              <a16:creationId xmlns:a16="http://schemas.microsoft.com/office/drawing/2014/main" id="{3635F4BA-FE51-446F-B57F-9C872872163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10</xdr:row>
      <xdr:rowOff>23446</xdr:rowOff>
    </xdr:from>
    <xdr:ext cx="304800" cy="282393"/>
    <xdr:sp macro="" textlink="">
      <xdr:nvSpPr>
        <xdr:cNvPr id="271" name="AutoShape 3" descr="https://www.sreality.cz/img/icon-phone.svg">
          <a:extLst>
            <a:ext uri="{FF2B5EF4-FFF2-40B4-BE49-F238E27FC236}">
              <a16:creationId xmlns:a16="http://schemas.microsoft.com/office/drawing/2014/main" id="{89FD5969-8091-4CAA-910B-3BD4C7D8D68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11</xdr:row>
      <xdr:rowOff>23446</xdr:rowOff>
    </xdr:from>
    <xdr:ext cx="304800" cy="282393"/>
    <xdr:sp macro="" textlink="">
      <xdr:nvSpPr>
        <xdr:cNvPr id="272" name="AutoShape 3" descr="https://www.sreality.cz/img/icon-phone.svg">
          <a:extLst>
            <a:ext uri="{FF2B5EF4-FFF2-40B4-BE49-F238E27FC236}">
              <a16:creationId xmlns:a16="http://schemas.microsoft.com/office/drawing/2014/main" id="{C4E339BD-0FAF-49DD-9CE7-3F68A9F17DD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20</xdr:row>
      <xdr:rowOff>23446</xdr:rowOff>
    </xdr:from>
    <xdr:ext cx="304800" cy="282393"/>
    <xdr:sp macro="" textlink="">
      <xdr:nvSpPr>
        <xdr:cNvPr id="273" name="AutoShape 3" descr="https://www.sreality.cz/img/icon-phone.svg">
          <a:extLst>
            <a:ext uri="{FF2B5EF4-FFF2-40B4-BE49-F238E27FC236}">
              <a16:creationId xmlns:a16="http://schemas.microsoft.com/office/drawing/2014/main" id="{B6C5F2B9-8DBE-4D37-A5DB-30B863418F1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21</xdr:row>
      <xdr:rowOff>23446</xdr:rowOff>
    </xdr:from>
    <xdr:ext cx="304800" cy="282393"/>
    <xdr:sp macro="" textlink="">
      <xdr:nvSpPr>
        <xdr:cNvPr id="274" name="AutoShape 3" descr="https://www.sreality.cz/img/icon-phone.svg">
          <a:extLst>
            <a:ext uri="{FF2B5EF4-FFF2-40B4-BE49-F238E27FC236}">
              <a16:creationId xmlns:a16="http://schemas.microsoft.com/office/drawing/2014/main" id="{702F72CF-FB72-4CEC-B843-49BAAA7A442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75" name="AutoShape 3" descr="https://www.sreality.cz/img/icon-phone.svg">
          <a:extLst>
            <a:ext uri="{FF2B5EF4-FFF2-40B4-BE49-F238E27FC236}">
              <a16:creationId xmlns:a16="http://schemas.microsoft.com/office/drawing/2014/main" id="{90A7A871-3A3B-497D-BE71-A03998A6B3C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76" name="AutoShape 3" descr="https://www.sreality.cz/img/icon-phone.svg">
          <a:extLst>
            <a:ext uri="{FF2B5EF4-FFF2-40B4-BE49-F238E27FC236}">
              <a16:creationId xmlns:a16="http://schemas.microsoft.com/office/drawing/2014/main" id="{A55857CD-D9CE-40BF-91A3-DF2EEBF0106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77" name="AutoShape 3" descr="https://www.sreality.cz/img/icon-phone.svg">
          <a:extLst>
            <a:ext uri="{FF2B5EF4-FFF2-40B4-BE49-F238E27FC236}">
              <a16:creationId xmlns:a16="http://schemas.microsoft.com/office/drawing/2014/main" id="{EB8CE3D8-974B-435E-855A-5268FE8D9F4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78" name="AutoShape 3" descr="https://www.sreality.cz/img/icon-phone.svg">
          <a:extLst>
            <a:ext uri="{FF2B5EF4-FFF2-40B4-BE49-F238E27FC236}">
              <a16:creationId xmlns:a16="http://schemas.microsoft.com/office/drawing/2014/main" id="{6F87C860-5BB8-47EB-8293-86D725E14F3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79" name="AutoShape 3" descr="https://www.sreality.cz/img/icon-phone.svg">
          <a:extLst>
            <a:ext uri="{FF2B5EF4-FFF2-40B4-BE49-F238E27FC236}">
              <a16:creationId xmlns:a16="http://schemas.microsoft.com/office/drawing/2014/main" id="{D52839A5-184C-43F1-A3E2-F4BDE80E0F0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0" name="AutoShape 3" descr="https://www.sreality.cz/img/icon-phone.svg">
          <a:extLst>
            <a:ext uri="{FF2B5EF4-FFF2-40B4-BE49-F238E27FC236}">
              <a16:creationId xmlns:a16="http://schemas.microsoft.com/office/drawing/2014/main" id="{A5126717-575D-4CBE-B9C5-9249DDC445F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1" name="AutoShape 3" descr="https://www.sreality.cz/img/icon-phone.svg">
          <a:extLst>
            <a:ext uri="{FF2B5EF4-FFF2-40B4-BE49-F238E27FC236}">
              <a16:creationId xmlns:a16="http://schemas.microsoft.com/office/drawing/2014/main" id="{47F8CE70-805F-4E03-BE6F-F4E15BC1B26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2" name="AutoShape 3" descr="https://www.sreality.cz/img/icon-phone.svg">
          <a:extLst>
            <a:ext uri="{FF2B5EF4-FFF2-40B4-BE49-F238E27FC236}">
              <a16:creationId xmlns:a16="http://schemas.microsoft.com/office/drawing/2014/main" id="{BE688082-5401-4A37-B8B1-AFD1EFD6937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3" name="AutoShape 3" descr="https://www.sreality.cz/img/icon-phone.svg">
          <a:extLst>
            <a:ext uri="{FF2B5EF4-FFF2-40B4-BE49-F238E27FC236}">
              <a16:creationId xmlns:a16="http://schemas.microsoft.com/office/drawing/2014/main" id="{349F1B8B-BF73-48CB-B11E-4DF00D1EC87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4" name="AutoShape 3" descr="https://www.sreality.cz/img/icon-phone.svg">
          <a:extLst>
            <a:ext uri="{FF2B5EF4-FFF2-40B4-BE49-F238E27FC236}">
              <a16:creationId xmlns:a16="http://schemas.microsoft.com/office/drawing/2014/main" id="{C41C365A-5348-454B-ADE0-DFF1B26923D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5" name="AutoShape 3" descr="https://www.sreality.cz/img/icon-phone.svg">
          <a:extLst>
            <a:ext uri="{FF2B5EF4-FFF2-40B4-BE49-F238E27FC236}">
              <a16:creationId xmlns:a16="http://schemas.microsoft.com/office/drawing/2014/main" id="{E0C7F514-97C8-49EA-B17A-5D7CA85125B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6" name="AutoShape 3" descr="https://www.sreality.cz/img/icon-phone.svg">
          <a:extLst>
            <a:ext uri="{FF2B5EF4-FFF2-40B4-BE49-F238E27FC236}">
              <a16:creationId xmlns:a16="http://schemas.microsoft.com/office/drawing/2014/main" id="{E8E922D3-CD4E-4A32-8324-C14D188374A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7" name="AutoShape 3" descr="https://www.sreality.cz/img/icon-phone.svg">
          <a:extLst>
            <a:ext uri="{FF2B5EF4-FFF2-40B4-BE49-F238E27FC236}">
              <a16:creationId xmlns:a16="http://schemas.microsoft.com/office/drawing/2014/main" id="{C28E3741-ACB7-41E3-B90A-D4562875219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8" name="AutoShape 3" descr="https://www.sreality.cz/img/icon-phone.svg">
          <a:extLst>
            <a:ext uri="{FF2B5EF4-FFF2-40B4-BE49-F238E27FC236}">
              <a16:creationId xmlns:a16="http://schemas.microsoft.com/office/drawing/2014/main" id="{A70102AF-C213-4734-8377-E012E1D4C06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89" name="AutoShape 3" descr="https://www.sreality.cz/img/icon-phone.svg">
          <a:extLst>
            <a:ext uri="{FF2B5EF4-FFF2-40B4-BE49-F238E27FC236}">
              <a16:creationId xmlns:a16="http://schemas.microsoft.com/office/drawing/2014/main" id="{488C9626-BC95-47E7-8D2A-4A0F2447D49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0" name="AutoShape 3" descr="https://www.sreality.cz/img/icon-phone.svg">
          <a:extLst>
            <a:ext uri="{FF2B5EF4-FFF2-40B4-BE49-F238E27FC236}">
              <a16:creationId xmlns:a16="http://schemas.microsoft.com/office/drawing/2014/main" id="{469FCF3D-0791-472B-BE08-C06F072FA0D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1" name="AutoShape 3" descr="https://www.sreality.cz/img/icon-phone.svg">
          <a:extLst>
            <a:ext uri="{FF2B5EF4-FFF2-40B4-BE49-F238E27FC236}">
              <a16:creationId xmlns:a16="http://schemas.microsoft.com/office/drawing/2014/main" id="{4D1CD354-F2CB-4390-8856-E08D355885A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2" name="AutoShape 3" descr="https://www.sreality.cz/img/icon-phone.svg">
          <a:extLst>
            <a:ext uri="{FF2B5EF4-FFF2-40B4-BE49-F238E27FC236}">
              <a16:creationId xmlns:a16="http://schemas.microsoft.com/office/drawing/2014/main" id="{A6A0AABC-EC9E-4D8E-8ED0-2EAF158BA61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3" name="AutoShape 3" descr="https://www.sreality.cz/img/icon-phone.svg">
          <a:extLst>
            <a:ext uri="{FF2B5EF4-FFF2-40B4-BE49-F238E27FC236}">
              <a16:creationId xmlns:a16="http://schemas.microsoft.com/office/drawing/2014/main" id="{EA016A91-03F5-41B0-9829-287AA9EA237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4" name="AutoShape 3" descr="https://www.sreality.cz/img/icon-phone.svg">
          <a:extLst>
            <a:ext uri="{FF2B5EF4-FFF2-40B4-BE49-F238E27FC236}">
              <a16:creationId xmlns:a16="http://schemas.microsoft.com/office/drawing/2014/main" id="{8522F46F-DA10-4FE4-9DE4-D9B23675043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5" name="AutoShape 3" descr="https://www.sreality.cz/img/icon-phone.svg">
          <a:extLst>
            <a:ext uri="{FF2B5EF4-FFF2-40B4-BE49-F238E27FC236}">
              <a16:creationId xmlns:a16="http://schemas.microsoft.com/office/drawing/2014/main" id="{C28DD367-BEFF-4DFC-8C50-95860253681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6" name="AutoShape 3" descr="https://www.sreality.cz/img/icon-phone.svg">
          <a:extLst>
            <a:ext uri="{FF2B5EF4-FFF2-40B4-BE49-F238E27FC236}">
              <a16:creationId xmlns:a16="http://schemas.microsoft.com/office/drawing/2014/main" id="{0541CDB0-24E2-4743-8331-D77C6F95FDB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</xdr:row>
      <xdr:rowOff>23446</xdr:rowOff>
    </xdr:from>
    <xdr:ext cx="304800" cy="282393"/>
    <xdr:sp macro="" textlink="">
      <xdr:nvSpPr>
        <xdr:cNvPr id="297" name="AutoShape 3" descr="https://www.sreality.cz/img/icon-phone.svg">
          <a:extLst>
            <a:ext uri="{FF2B5EF4-FFF2-40B4-BE49-F238E27FC236}">
              <a16:creationId xmlns:a16="http://schemas.microsoft.com/office/drawing/2014/main" id="{DB5AC082-C095-43A0-867C-80B67315987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3</xdr:row>
      <xdr:rowOff>23446</xdr:rowOff>
    </xdr:from>
    <xdr:ext cx="304800" cy="282393"/>
    <xdr:sp macro="" textlink="">
      <xdr:nvSpPr>
        <xdr:cNvPr id="298" name="AutoShape 3" descr="https://www.sreality.cz/img/icon-phone.svg">
          <a:extLst>
            <a:ext uri="{FF2B5EF4-FFF2-40B4-BE49-F238E27FC236}">
              <a16:creationId xmlns:a16="http://schemas.microsoft.com/office/drawing/2014/main" id="{958C6157-21FA-4503-AC46-32845AFAFFA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299" name="AutoShape 3" descr="https://www.sreality.cz/img/icon-phone.svg">
          <a:extLst>
            <a:ext uri="{FF2B5EF4-FFF2-40B4-BE49-F238E27FC236}">
              <a16:creationId xmlns:a16="http://schemas.microsoft.com/office/drawing/2014/main" id="{A803D8C3-46FB-4B5E-890C-5D383BE36C8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00" name="AutoShape 3" descr="https://www.sreality.cz/img/icon-phone.svg">
          <a:extLst>
            <a:ext uri="{FF2B5EF4-FFF2-40B4-BE49-F238E27FC236}">
              <a16:creationId xmlns:a16="http://schemas.microsoft.com/office/drawing/2014/main" id="{6794939D-4238-4115-BF89-AAF20983D46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01" name="AutoShape 3" descr="https://www.sreality.cz/img/icon-phone.svg">
          <a:extLst>
            <a:ext uri="{FF2B5EF4-FFF2-40B4-BE49-F238E27FC236}">
              <a16:creationId xmlns:a16="http://schemas.microsoft.com/office/drawing/2014/main" id="{D11D48A6-1903-4867-A2F9-4B9E7BCB776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02" name="AutoShape 3" descr="https://www.sreality.cz/img/icon-phone.svg">
          <a:extLst>
            <a:ext uri="{FF2B5EF4-FFF2-40B4-BE49-F238E27FC236}">
              <a16:creationId xmlns:a16="http://schemas.microsoft.com/office/drawing/2014/main" id="{23F3BFA1-187E-4D02-815F-076AD89CC0D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03" name="AutoShape 3" descr="https://www.sreality.cz/img/icon-phone.svg">
          <a:extLst>
            <a:ext uri="{FF2B5EF4-FFF2-40B4-BE49-F238E27FC236}">
              <a16:creationId xmlns:a16="http://schemas.microsoft.com/office/drawing/2014/main" id="{4DA4BFA0-397B-454A-8358-94D6E24C434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04" name="AutoShape 3" descr="https://www.sreality.cz/img/icon-phone.svg">
          <a:extLst>
            <a:ext uri="{FF2B5EF4-FFF2-40B4-BE49-F238E27FC236}">
              <a16:creationId xmlns:a16="http://schemas.microsoft.com/office/drawing/2014/main" id="{EEC6643C-92A5-49FB-A9BD-D7A8BB98567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7</xdr:row>
      <xdr:rowOff>23446</xdr:rowOff>
    </xdr:from>
    <xdr:ext cx="304800" cy="282393"/>
    <xdr:sp macro="" textlink="">
      <xdr:nvSpPr>
        <xdr:cNvPr id="305" name="AutoShape 3" descr="https://www.sreality.cz/img/icon-phone.svg">
          <a:extLst>
            <a:ext uri="{FF2B5EF4-FFF2-40B4-BE49-F238E27FC236}">
              <a16:creationId xmlns:a16="http://schemas.microsoft.com/office/drawing/2014/main" id="{1A4631DE-CCE8-471C-B65A-B299CD093A1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8</xdr:row>
      <xdr:rowOff>23446</xdr:rowOff>
    </xdr:from>
    <xdr:ext cx="304800" cy="282393"/>
    <xdr:sp macro="" textlink="">
      <xdr:nvSpPr>
        <xdr:cNvPr id="306" name="AutoShape 3" descr="https://www.sreality.cz/img/icon-phone.svg">
          <a:extLst>
            <a:ext uri="{FF2B5EF4-FFF2-40B4-BE49-F238E27FC236}">
              <a16:creationId xmlns:a16="http://schemas.microsoft.com/office/drawing/2014/main" id="{149F133E-4806-4A82-8115-E50874E8E87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11</xdr:row>
      <xdr:rowOff>23446</xdr:rowOff>
    </xdr:from>
    <xdr:ext cx="304800" cy="282393"/>
    <xdr:sp macro="" textlink="">
      <xdr:nvSpPr>
        <xdr:cNvPr id="307" name="AutoShape 3" descr="https://www.sreality.cz/img/icon-phone.svg">
          <a:extLst>
            <a:ext uri="{FF2B5EF4-FFF2-40B4-BE49-F238E27FC236}">
              <a16:creationId xmlns:a16="http://schemas.microsoft.com/office/drawing/2014/main" id="{69C0E963-3C28-4DA6-8869-82B8E4A600E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12</xdr:row>
      <xdr:rowOff>23446</xdr:rowOff>
    </xdr:from>
    <xdr:ext cx="304800" cy="282393"/>
    <xdr:sp macro="" textlink="">
      <xdr:nvSpPr>
        <xdr:cNvPr id="308" name="AutoShape 3" descr="https://www.sreality.cz/img/icon-phone.svg">
          <a:extLst>
            <a:ext uri="{FF2B5EF4-FFF2-40B4-BE49-F238E27FC236}">
              <a16:creationId xmlns:a16="http://schemas.microsoft.com/office/drawing/2014/main" id="{801DED6A-B2AC-4E1E-80AF-40ECCF4F4F5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21</xdr:row>
      <xdr:rowOff>23446</xdr:rowOff>
    </xdr:from>
    <xdr:ext cx="304800" cy="282393"/>
    <xdr:sp macro="" textlink="">
      <xdr:nvSpPr>
        <xdr:cNvPr id="309" name="AutoShape 3" descr="https://www.sreality.cz/img/icon-phone.svg">
          <a:extLst>
            <a:ext uri="{FF2B5EF4-FFF2-40B4-BE49-F238E27FC236}">
              <a16:creationId xmlns:a16="http://schemas.microsoft.com/office/drawing/2014/main" id="{33EB2A4B-5E31-42BB-B8E0-8CBD05D5A2C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22</xdr:row>
      <xdr:rowOff>23446</xdr:rowOff>
    </xdr:from>
    <xdr:ext cx="304800" cy="282393"/>
    <xdr:sp macro="" textlink="">
      <xdr:nvSpPr>
        <xdr:cNvPr id="310" name="AutoShape 3" descr="https://www.sreality.cz/img/icon-phone.svg">
          <a:extLst>
            <a:ext uri="{FF2B5EF4-FFF2-40B4-BE49-F238E27FC236}">
              <a16:creationId xmlns:a16="http://schemas.microsoft.com/office/drawing/2014/main" id="{127AF67C-15B8-4E2E-96FA-18F9965DE5A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1" name="AutoShape 3" descr="https://www.sreality.cz/img/icon-phone.svg">
          <a:extLst>
            <a:ext uri="{FF2B5EF4-FFF2-40B4-BE49-F238E27FC236}">
              <a16:creationId xmlns:a16="http://schemas.microsoft.com/office/drawing/2014/main" id="{A77A14AB-030E-4C20-997A-8DF6BABE045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2" name="AutoShape 3" descr="https://www.sreality.cz/img/icon-phone.svg">
          <a:extLst>
            <a:ext uri="{FF2B5EF4-FFF2-40B4-BE49-F238E27FC236}">
              <a16:creationId xmlns:a16="http://schemas.microsoft.com/office/drawing/2014/main" id="{D543109F-73F2-4B3E-833F-B16E4BF8EB8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3" name="AutoShape 3" descr="https://www.sreality.cz/img/icon-phone.svg">
          <a:extLst>
            <a:ext uri="{FF2B5EF4-FFF2-40B4-BE49-F238E27FC236}">
              <a16:creationId xmlns:a16="http://schemas.microsoft.com/office/drawing/2014/main" id="{DAE53AAB-EB15-4F41-8BEB-B501CB35E36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4" name="AutoShape 3" descr="https://www.sreality.cz/img/icon-phone.svg">
          <a:extLst>
            <a:ext uri="{FF2B5EF4-FFF2-40B4-BE49-F238E27FC236}">
              <a16:creationId xmlns:a16="http://schemas.microsoft.com/office/drawing/2014/main" id="{7B8F800F-E613-4B55-91B1-B885A1FB817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5" name="AutoShape 3" descr="https://www.sreality.cz/img/icon-phone.svg">
          <a:extLst>
            <a:ext uri="{FF2B5EF4-FFF2-40B4-BE49-F238E27FC236}">
              <a16:creationId xmlns:a16="http://schemas.microsoft.com/office/drawing/2014/main" id="{FABFEBD8-72B7-4D6D-9DD5-B17704DCAAD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6" name="AutoShape 3" descr="https://www.sreality.cz/img/icon-phone.svg">
          <a:extLst>
            <a:ext uri="{FF2B5EF4-FFF2-40B4-BE49-F238E27FC236}">
              <a16:creationId xmlns:a16="http://schemas.microsoft.com/office/drawing/2014/main" id="{FD2FCCB8-0031-4B70-951D-53465963E15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7" name="AutoShape 3" descr="https://www.sreality.cz/img/icon-phone.svg">
          <a:extLst>
            <a:ext uri="{FF2B5EF4-FFF2-40B4-BE49-F238E27FC236}">
              <a16:creationId xmlns:a16="http://schemas.microsoft.com/office/drawing/2014/main" id="{73A1124A-05A3-41E8-A7BA-6C672CC5272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8" name="AutoShape 3" descr="https://www.sreality.cz/img/icon-phone.svg">
          <a:extLst>
            <a:ext uri="{FF2B5EF4-FFF2-40B4-BE49-F238E27FC236}">
              <a16:creationId xmlns:a16="http://schemas.microsoft.com/office/drawing/2014/main" id="{04483D85-E3BD-444F-A45A-BDADF96D9EB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19" name="AutoShape 3" descr="https://www.sreality.cz/img/icon-phone.svg">
          <a:extLst>
            <a:ext uri="{FF2B5EF4-FFF2-40B4-BE49-F238E27FC236}">
              <a16:creationId xmlns:a16="http://schemas.microsoft.com/office/drawing/2014/main" id="{86F119BB-460D-4BFA-A8FD-1EC5E52DFA4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0" name="AutoShape 3" descr="https://www.sreality.cz/img/icon-phone.svg">
          <a:extLst>
            <a:ext uri="{FF2B5EF4-FFF2-40B4-BE49-F238E27FC236}">
              <a16:creationId xmlns:a16="http://schemas.microsoft.com/office/drawing/2014/main" id="{38AD245A-360E-4524-9235-31B22D124C2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1" name="AutoShape 3" descr="https://www.sreality.cz/img/icon-phone.svg">
          <a:extLst>
            <a:ext uri="{FF2B5EF4-FFF2-40B4-BE49-F238E27FC236}">
              <a16:creationId xmlns:a16="http://schemas.microsoft.com/office/drawing/2014/main" id="{1802DB21-D31A-4B94-AAAE-6B57E4378E9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2" name="AutoShape 3" descr="https://www.sreality.cz/img/icon-phone.svg">
          <a:extLst>
            <a:ext uri="{FF2B5EF4-FFF2-40B4-BE49-F238E27FC236}">
              <a16:creationId xmlns:a16="http://schemas.microsoft.com/office/drawing/2014/main" id="{46A7BD06-2959-4B42-8C42-014C0BF71F3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4</xdr:row>
      <xdr:rowOff>23446</xdr:rowOff>
    </xdr:from>
    <xdr:ext cx="304800" cy="282393"/>
    <xdr:sp macro="" textlink="">
      <xdr:nvSpPr>
        <xdr:cNvPr id="323" name="AutoShape 3" descr="https://www.sreality.cz/img/icon-phone.svg">
          <a:extLst>
            <a:ext uri="{FF2B5EF4-FFF2-40B4-BE49-F238E27FC236}">
              <a16:creationId xmlns:a16="http://schemas.microsoft.com/office/drawing/2014/main" id="{0DFEED6B-B2A7-44B6-B8F3-2E860D3B7EF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5</xdr:row>
      <xdr:rowOff>23446</xdr:rowOff>
    </xdr:from>
    <xdr:ext cx="304800" cy="282393"/>
    <xdr:sp macro="" textlink="">
      <xdr:nvSpPr>
        <xdr:cNvPr id="324" name="AutoShape 3" descr="https://www.sreality.cz/img/icon-phone.svg">
          <a:extLst>
            <a:ext uri="{FF2B5EF4-FFF2-40B4-BE49-F238E27FC236}">
              <a16:creationId xmlns:a16="http://schemas.microsoft.com/office/drawing/2014/main" id="{78EC79FE-DFBC-41E6-8D4F-4A8A16C87E9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5" name="AutoShape 3" descr="https://www.sreality.cz/img/icon-phone.svg">
          <a:extLst>
            <a:ext uri="{FF2B5EF4-FFF2-40B4-BE49-F238E27FC236}">
              <a16:creationId xmlns:a16="http://schemas.microsoft.com/office/drawing/2014/main" id="{DEE22356-DF53-49AD-8190-AE2B0CEF01B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6" name="AutoShape 3" descr="https://www.sreality.cz/img/icon-phone.svg">
          <a:extLst>
            <a:ext uri="{FF2B5EF4-FFF2-40B4-BE49-F238E27FC236}">
              <a16:creationId xmlns:a16="http://schemas.microsoft.com/office/drawing/2014/main" id="{0D6505AE-BDA6-49E7-B541-577BCF43E0E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7" name="AutoShape 3" descr="https://www.sreality.cz/img/icon-phone.svg">
          <a:extLst>
            <a:ext uri="{FF2B5EF4-FFF2-40B4-BE49-F238E27FC236}">
              <a16:creationId xmlns:a16="http://schemas.microsoft.com/office/drawing/2014/main" id="{4C2ECD3F-17B4-4853-A245-E6BD76A9D0C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8" name="AutoShape 3" descr="https://www.sreality.cz/img/icon-phone.svg">
          <a:extLst>
            <a:ext uri="{FF2B5EF4-FFF2-40B4-BE49-F238E27FC236}">
              <a16:creationId xmlns:a16="http://schemas.microsoft.com/office/drawing/2014/main" id="{BFF5DE0B-52B6-49CB-BEC5-B8A88190233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29" name="AutoShape 3" descr="https://www.sreality.cz/img/icon-phone.svg">
          <a:extLst>
            <a:ext uri="{FF2B5EF4-FFF2-40B4-BE49-F238E27FC236}">
              <a16:creationId xmlns:a16="http://schemas.microsoft.com/office/drawing/2014/main" id="{92BBF77A-871D-48DE-8FC7-F6AED45DC70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30" name="AutoShape 3" descr="https://www.sreality.cz/img/icon-phone.svg">
          <a:extLst>
            <a:ext uri="{FF2B5EF4-FFF2-40B4-BE49-F238E27FC236}">
              <a16:creationId xmlns:a16="http://schemas.microsoft.com/office/drawing/2014/main" id="{075F1939-BD6D-4F1C-B1E6-F7F0DA9F3A7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331" name="AutoShape 3" descr="https://www.sreality.cz/img/icon-phone.svg">
          <a:extLst>
            <a:ext uri="{FF2B5EF4-FFF2-40B4-BE49-F238E27FC236}">
              <a16:creationId xmlns:a16="http://schemas.microsoft.com/office/drawing/2014/main" id="{D52CF855-955D-4CC4-B49D-671E2A330AE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10</xdr:row>
      <xdr:rowOff>23446</xdr:rowOff>
    </xdr:from>
    <xdr:ext cx="304800" cy="282393"/>
    <xdr:sp macro="" textlink="">
      <xdr:nvSpPr>
        <xdr:cNvPr id="332" name="AutoShape 3" descr="https://www.sreality.cz/img/icon-phone.svg">
          <a:extLst>
            <a:ext uri="{FF2B5EF4-FFF2-40B4-BE49-F238E27FC236}">
              <a16:creationId xmlns:a16="http://schemas.microsoft.com/office/drawing/2014/main" id="{99DB19C6-349E-434B-BF48-B52F0F5C7E8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13</xdr:row>
      <xdr:rowOff>23446</xdr:rowOff>
    </xdr:from>
    <xdr:ext cx="304800" cy="282393"/>
    <xdr:sp macro="" textlink="">
      <xdr:nvSpPr>
        <xdr:cNvPr id="333" name="AutoShape 3" descr="https://www.sreality.cz/img/icon-phone.svg">
          <a:extLst>
            <a:ext uri="{FF2B5EF4-FFF2-40B4-BE49-F238E27FC236}">
              <a16:creationId xmlns:a16="http://schemas.microsoft.com/office/drawing/2014/main" id="{34291C68-08E6-4C1A-97A3-A5235F31B1F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14</xdr:row>
      <xdr:rowOff>23446</xdr:rowOff>
    </xdr:from>
    <xdr:ext cx="304800" cy="282393"/>
    <xdr:sp macro="" textlink="">
      <xdr:nvSpPr>
        <xdr:cNvPr id="334" name="AutoShape 3" descr="https://www.sreality.cz/img/icon-phone.svg">
          <a:extLst>
            <a:ext uri="{FF2B5EF4-FFF2-40B4-BE49-F238E27FC236}">
              <a16:creationId xmlns:a16="http://schemas.microsoft.com/office/drawing/2014/main" id="{ACE79D87-185B-4669-81BC-76B64EE7410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23</xdr:row>
      <xdr:rowOff>23446</xdr:rowOff>
    </xdr:from>
    <xdr:ext cx="304800" cy="282393"/>
    <xdr:sp macro="" textlink="">
      <xdr:nvSpPr>
        <xdr:cNvPr id="335" name="AutoShape 3" descr="https://www.sreality.cz/img/icon-phone.svg">
          <a:extLst>
            <a:ext uri="{FF2B5EF4-FFF2-40B4-BE49-F238E27FC236}">
              <a16:creationId xmlns:a16="http://schemas.microsoft.com/office/drawing/2014/main" id="{368A5352-8A6E-4A95-BDF5-ADC30D1BE3A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36" name="AutoShape 3" descr="https://www.sreality.cz/img/icon-phone.svg">
          <a:extLst>
            <a:ext uri="{FF2B5EF4-FFF2-40B4-BE49-F238E27FC236}">
              <a16:creationId xmlns:a16="http://schemas.microsoft.com/office/drawing/2014/main" id="{DF020F70-D530-4167-A3B4-E7A17356071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37" name="AutoShape 3" descr="https://www.sreality.cz/img/icon-phone.svg">
          <a:extLst>
            <a:ext uri="{FF2B5EF4-FFF2-40B4-BE49-F238E27FC236}">
              <a16:creationId xmlns:a16="http://schemas.microsoft.com/office/drawing/2014/main" id="{4A4FA5FD-9BF7-41FF-8226-DD0A43260E3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338" name="AutoShape 3" descr="https://www.sreality.cz/img/icon-phone.svg">
          <a:extLst>
            <a:ext uri="{FF2B5EF4-FFF2-40B4-BE49-F238E27FC236}">
              <a16:creationId xmlns:a16="http://schemas.microsoft.com/office/drawing/2014/main" id="{377CF1A6-7DF6-4BEE-9D04-BE133BE6EAE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10</xdr:row>
      <xdr:rowOff>23446</xdr:rowOff>
    </xdr:from>
    <xdr:ext cx="304800" cy="282393"/>
    <xdr:sp macro="" textlink="">
      <xdr:nvSpPr>
        <xdr:cNvPr id="339" name="AutoShape 3" descr="https://www.sreality.cz/img/icon-phone.svg">
          <a:extLst>
            <a:ext uri="{FF2B5EF4-FFF2-40B4-BE49-F238E27FC236}">
              <a16:creationId xmlns:a16="http://schemas.microsoft.com/office/drawing/2014/main" id="{EBABFD8C-F6EB-4779-AA23-0DB5921EA3E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0" name="AutoShape 3" descr="https://www.sreality.cz/img/icon-phone.svg">
          <a:extLst>
            <a:ext uri="{FF2B5EF4-FFF2-40B4-BE49-F238E27FC236}">
              <a16:creationId xmlns:a16="http://schemas.microsoft.com/office/drawing/2014/main" id="{89FFCDF1-8E51-4B55-8A11-FA976611691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1" name="AutoShape 3" descr="https://www.sreality.cz/img/icon-phone.svg">
          <a:extLst>
            <a:ext uri="{FF2B5EF4-FFF2-40B4-BE49-F238E27FC236}">
              <a16:creationId xmlns:a16="http://schemas.microsoft.com/office/drawing/2014/main" id="{D53E7239-CE60-4604-BC27-E569C6CE591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2" name="AutoShape 3" descr="https://www.sreality.cz/img/icon-phone.svg">
          <a:extLst>
            <a:ext uri="{FF2B5EF4-FFF2-40B4-BE49-F238E27FC236}">
              <a16:creationId xmlns:a16="http://schemas.microsoft.com/office/drawing/2014/main" id="{8D3D643E-D836-45B9-B1C1-A1CA69A5B01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3" name="AutoShape 3" descr="https://www.sreality.cz/img/icon-phone.svg">
          <a:extLst>
            <a:ext uri="{FF2B5EF4-FFF2-40B4-BE49-F238E27FC236}">
              <a16:creationId xmlns:a16="http://schemas.microsoft.com/office/drawing/2014/main" id="{736BF9BA-BC43-40E4-B233-77BDBA56BEA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4" name="AutoShape 3" descr="https://www.sreality.cz/img/icon-phone.svg">
          <a:extLst>
            <a:ext uri="{FF2B5EF4-FFF2-40B4-BE49-F238E27FC236}">
              <a16:creationId xmlns:a16="http://schemas.microsoft.com/office/drawing/2014/main" id="{C8EB2B9C-3E95-43F0-8F0A-6B5AD3D03A7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5" name="AutoShape 3" descr="https://www.sreality.cz/img/icon-phone.svg">
          <a:extLst>
            <a:ext uri="{FF2B5EF4-FFF2-40B4-BE49-F238E27FC236}">
              <a16:creationId xmlns:a16="http://schemas.microsoft.com/office/drawing/2014/main" id="{117D48DB-0077-480A-8D44-33C8ADBA188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6" name="AutoShape 3" descr="https://www.sreality.cz/img/icon-phone.svg">
          <a:extLst>
            <a:ext uri="{FF2B5EF4-FFF2-40B4-BE49-F238E27FC236}">
              <a16:creationId xmlns:a16="http://schemas.microsoft.com/office/drawing/2014/main" id="{3D5F63B0-90C1-4D8F-891C-EB27CC2E69B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7" name="AutoShape 3" descr="https://www.sreality.cz/img/icon-phone.svg">
          <a:extLst>
            <a:ext uri="{FF2B5EF4-FFF2-40B4-BE49-F238E27FC236}">
              <a16:creationId xmlns:a16="http://schemas.microsoft.com/office/drawing/2014/main" id="{E2B3F3BA-8EAA-4440-9B95-986F5ECF365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8" name="AutoShape 3" descr="https://www.sreality.cz/img/icon-phone.svg">
          <a:extLst>
            <a:ext uri="{FF2B5EF4-FFF2-40B4-BE49-F238E27FC236}">
              <a16:creationId xmlns:a16="http://schemas.microsoft.com/office/drawing/2014/main" id="{CE4E43BC-D484-4E20-A0B9-37F0D35F7C5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49" name="AutoShape 3" descr="https://www.sreality.cz/img/icon-phone.svg">
          <a:extLst>
            <a:ext uri="{FF2B5EF4-FFF2-40B4-BE49-F238E27FC236}">
              <a16:creationId xmlns:a16="http://schemas.microsoft.com/office/drawing/2014/main" id="{DBFBAD6D-261A-464D-9125-77497008FAE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0" name="AutoShape 3" descr="https://www.sreality.cz/img/icon-phone.svg">
          <a:extLst>
            <a:ext uri="{FF2B5EF4-FFF2-40B4-BE49-F238E27FC236}">
              <a16:creationId xmlns:a16="http://schemas.microsoft.com/office/drawing/2014/main" id="{1C2938C4-05ED-4EC3-91EA-4538F51EA28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1" name="AutoShape 3" descr="https://www.sreality.cz/img/icon-phone.svg">
          <a:extLst>
            <a:ext uri="{FF2B5EF4-FFF2-40B4-BE49-F238E27FC236}">
              <a16:creationId xmlns:a16="http://schemas.microsoft.com/office/drawing/2014/main" id="{D7BD893F-3DD8-4B3A-9D4D-3E3CE25506D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2" name="AutoShape 3" descr="https://www.sreality.cz/img/icon-phone.svg">
          <a:extLst>
            <a:ext uri="{FF2B5EF4-FFF2-40B4-BE49-F238E27FC236}">
              <a16:creationId xmlns:a16="http://schemas.microsoft.com/office/drawing/2014/main" id="{F8A8EFD7-2227-4DE1-9D5C-C4CD7ACF165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3" name="AutoShape 3" descr="https://www.sreality.cz/img/icon-phone.svg">
          <a:extLst>
            <a:ext uri="{FF2B5EF4-FFF2-40B4-BE49-F238E27FC236}">
              <a16:creationId xmlns:a16="http://schemas.microsoft.com/office/drawing/2014/main" id="{8AC893BC-EA26-4563-97AA-9529C1FDC53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4" name="AutoShape 3" descr="https://www.sreality.cz/img/icon-phone.svg">
          <a:extLst>
            <a:ext uri="{FF2B5EF4-FFF2-40B4-BE49-F238E27FC236}">
              <a16:creationId xmlns:a16="http://schemas.microsoft.com/office/drawing/2014/main" id="{80BD088C-3D9E-41AA-89D6-451AB590BF0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5" name="AutoShape 3" descr="https://www.sreality.cz/img/icon-phone.svg">
          <a:extLst>
            <a:ext uri="{FF2B5EF4-FFF2-40B4-BE49-F238E27FC236}">
              <a16:creationId xmlns:a16="http://schemas.microsoft.com/office/drawing/2014/main" id="{AFD7BE9A-7C71-4661-9AC0-B3A017C7D23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6" name="AutoShape 3" descr="https://www.sreality.cz/img/icon-phone.svg">
          <a:extLst>
            <a:ext uri="{FF2B5EF4-FFF2-40B4-BE49-F238E27FC236}">
              <a16:creationId xmlns:a16="http://schemas.microsoft.com/office/drawing/2014/main" id="{CB4D4E49-2AD2-4159-BEA2-C7914EB9EF3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7" name="AutoShape 3" descr="https://www.sreality.cz/img/icon-phone.svg">
          <a:extLst>
            <a:ext uri="{FF2B5EF4-FFF2-40B4-BE49-F238E27FC236}">
              <a16:creationId xmlns:a16="http://schemas.microsoft.com/office/drawing/2014/main" id="{C565084A-A4DB-48C4-B9B2-7578574C679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8" name="AutoShape 3" descr="https://www.sreality.cz/img/icon-phone.svg">
          <a:extLst>
            <a:ext uri="{FF2B5EF4-FFF2-40B4-BE49-F238E27FC236}">
              <a16:creationId xmlns:a16="http://schemas.microsoft.com/office/drawing/2014/main" id="{8B5D7FB5-C481-492C-88B8-67D7095D290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59" name="AutoShape 3" descr="https://www.sreality.cz/img/icon-phone.svg">
          <a:extLst>
            <a:ext uri="{FF2B5EF4-FFF2-40B4-BE49-F238E27FC236}">
              <a16:creationId xmlns:a16="http://schemas.microsoft.com/office/drawing/2014/main" id="{0660E17B-4C7C-4915-B46B-E3069D2CCC9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0" name="AutoShape 3" descr="https://www.sreality.cz/img/icon-phone.svg">
          <a:extLst>
            <a:ext uri="{FF2B5EF4-FFF2-40B4-BE49-F238E27FC236}">
              <a16:creationId xmlns:a16="http://schemas.microsoft.com/office/drawing/2014/main" id="{4AD692DE-7A85-4962-9309-B345D275C8D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1" name="AutoShape 3" descr="https://www.sreality.cz/img/icon-phone.svg">
          <a:extLst>
            <a:ext uri="{FF2B5EF4-FFF2-40B4-BE49-F238E27FC236}">
              <a16:creationId xmlns:a16="http://schemas.microsoft.com/office/drawing/2014/main" id="{674D1AC0-B1A1-484E-B455-464883E1D93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2" name="AutoShape 3" descr="https://www.sreality.cz/img/icon-phone.svg">
          <a:extLst>
            <a:ext uri="{FF2B5EF4-FFF2-40B4-BE49-F238E27FC236}">
              <a16:creationId xmlns:a16="http://schemas.microsoft.com/office/drawing/2014/main" id="{8768366D-58E1-43B2-BB4E-EEB4102BF62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3" name="AutoShape 3" descr="https://www.sreality.cz/img/icon-phone.svg">
          <a:extLst>
            <a:ext uri="{FF2B5EF4-FFF2-40B4-BE49-F238E27FC236}">
              <a16:creationId xmlns:a16="http://schemas.microsoft.com/office/drawing/2014/main" id="{9FB0FE41-9FCA-4771-8F35-CCFF70B34BD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4" name="AutoShape 3" descr="https://www.sreality.cz/img/icon-phone.svg">
          <a:extLst>
            <a:ext uri="{FF2B5EF4-FFF2-40B4-BE49-F238E27FC236}">
              <a16:creationId xmlns:a16="http://schemas.microsoft.com/office/drawing/2014/main" id="{0B40C4AD-D04E-4B39-9C5D-BB6BBB836F8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5" name="AutoShape 3" descr="https://www.sreality.cz/img/icon-phone.svg">
          <a:extLst>
            <a:ext uri="{FF2B5EF4-FFF2-40B4-BE49-F238E27FC236}">
              <a16:creationId xmlns:a16="http://schemas.microsoft.com/office/drawing/2014/main" id="{C4D640C9-9A32-4D2F-9D9C-EE6F0D1B7EB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6" name="AutoShape 3" descr="https://www.sreality.cz/img/icon-phone.svg">
          <a:extLst>
            <a:ext uri="{FF2B5EF4-FFF2-40B4-BE49-F238E27FC236}">
              <a16:creationId xmlns:a16="http://schemas.microsoft.com/office/drawing/2014/main" id="{46DBB28C-EBB5-41AB-AECE-DAC37BC1343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7" name="AutoShape 3" descr="https://www.sreality.cz/img/icon-phone.svg">
          <a:extLst>
            <a:ext uri="{FF2B5EF4-FFF2-40B4-BE49-F238E27FC236}">
              <a16:creationId xmlns:a16="http://schemas.microsoft.com/office/drawing/2014/main" id="{E1A5AC0C-EF5E-438F-8FAB-51FB1CB4A1E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8" name="AutoShape 3" descr="https://www.sreality.cz/img/icon-phone.svg">
          <a:extLst>
            <a:ext uri="{FF2B5EF4-FFF2-40B4-BE49-F238E27FC236}">
              <a16:creationId xmlns:a16="http://schemas.microsoft.com/office/drawing/2014/main" id="{079FE492-0B0E-434E-BBF6-17C60325918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69" name="AutoShape 3" descr="https://www.sreality.cz/img/icon-phone.svg">
          <a:extLst>
            <a:ext uri="{FF2B5EF4-FFF2-40B4-BE49-F238E27FC236}">
              <a16:creationId xmlns:a16="http://schemas.microsoft.com/office/drawing/2014/main" id="{A7A1BB33-69E2-4795-83BD-557E077AB1A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0" name="AutoShape 3" descr="https://www.sreality.cz/img/icon-phone.svg">
          <a:extLst>
            <a:ext uri="{FF2B5EF4-FFF2-40B4-BE49-F238E27FC236}">
              <a16:creationId xmlns:a16="http://schemas.microsoft.com/office/drawing/2014/main" id="{305D1DD2-F16C-41FC-BE7A-B8E8F40BC55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1" name="AutoShape 3" descr="https://www.sreality.cz/img/icon-phone.svg">
          <a:extLst>
            <a:ext uri="{FF2B5EF4-FFF2-40B4-BE49-F238E27FC236}">
              <a16:creationId xmlns:a16="http://schemas.microsoft.com/office/drawing/2014/main" id="{28FC780E-77ED-4E06-A0B9-2272E5CB80D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2" name="AutoShape 3" descr="https://www.sreality.cz/img/icon-phone.svg">
          <a:extLst>
            <a:ext uri="{FF2B5EF4-FFF2-40B4-BE49-F238E27FC236}">
              <a16:creationId xmlns:a16="http://schemas.microsoft.com/office/drawing/2014/main" id="{F7E0B95C-6170-4F5E-8E30-D76EE9F61DC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3" name="AutoShape 3" descr="https://www.sreality.cz/img/icon-phone.svg">
          <a:extLst>
            <a:ext uri="{FF2B5EF4-FFF2-40B4-BE49-F238E27FC236}">
              <a16:creationId xmlns:a16="http://schemas.microsoft.com/office/drawing/2014/main" id="{98F64C27-EB34-4D72-BF10-C532496E26A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4" name="AutoShape 3" descr="https://www.sreality.cz/img/icon-phone.svg">
          <a:extLst>
            <a:ext uri="{FF2B5EF4-FFF2-40B4-BE49-F238E27FC236}">
              <a16:creationId xmlns:a16="http://schemas.microsoft.com/office/drawing/2014/main" id="{5BD7995E-B39F-4FAA-8271-944DDCF9C86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5" name="AutoShape 3" descr="https://www.sreality.cz/img/icon-phone.svg">
          <a:extLst>
            <a:ext uri="{FF2B5EF4-FFF2-40B4-BE49-F238E27FC236}">
              <a16:creationId xmlns:a16="http://schemas.microsoft.com/office/drawing/2014/main" id="{7DF4CA03-7862-4626-AA3B-2743A050DC1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8</xdr:row>
      <xdr:rowOff>23446</xdr:rowOff>
    </xdr:from>
    <xdr:ext cx="304800" cy="282393"/>
    <xdr:sp macro="" textlink="">
      <xdr:nvSpPr>
        <xdr:cNvPr id="376" name="AutoShape 3" descr="https://www.sreality.cz/img/icon-phone.svg">
          <a:extLst>
            <a:ext uri="{FF2B5EF4-FFF2-40B4-BE49-F238E27FC236}">
              <a16:creationId xmlns:a16="http://schemas.microsoft.com/office/drawing/2014/main" id="{DA582E20-6629-424A-80DC-AC7506011DF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377" name="AutoShape 3" descr="https://www.sreality.cz/img/icon-phone.svg">
          <a:extLst>
            <a:ext uri="{FF2B5EF4-FFF2-40B4-BE49-F238E27FC236}">
              <a16:creationId xmlns:a16="http://schemas.microsoft.com/office/drawing/2014/main" id="{BC3A0F77-7323-4C78-8713-FFD5A81D585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8" name="AutoShape 3" descr="https://www.sreality.cz/img/icon-phone.svg">
          <a:extLst>
            <a:ext uri="{FF2B5EF4-FFF2-40B4-BE49-F238E27FC236}">
              <a16:creationId xmlns:a16="http://schemas.microsoft.com/office/drawing/2014/main" id="{DFE0589C-CCB8-4F76-B97E-7E8625E1F70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79" name="AutoShape 3" descr="https://www.sreality.cz/img/icon-phone.svg">
          <a:extLst>
            <a:ext uri="{FF2B5EF4-FFF2-40B4-BE49-F238E27FC236}">
              <a16:creationId xmlns:a16="http://schemas.microsoft.com/office/drawing/2014/main" id="{50644A58-055E-42CE-BCE6-3DC3FBE131D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80" name="AutoShape 3" descr="https://www.sreality.cz/img/icon-phone.svg">
          <a:extLst>
            <a:ext uri="{FF2B5EF4-FFF2-40B4-BE49-F238E27FC236}">
              <a16:creationId xmlns:a16="http://schemas.microsoft.com/office/drawing/2014/main" id="{FB933EFC-9FEF-40C8-963B-D5EE4418E25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81" name="AutoShape 3" descr="https://www.sreality.cz/img/icon-phone.svg">
          <a:extLst>
            <a:ext uri="{FF2B5EF4-FFF2-40B4-BE49-F238E27FC236}">
              <a16:creationId xmlns:a16="http://schemas.microsoft.com/office/drawing/2014/main" id="{0C5D1418-D3C2-43CE-8BD5-8AFE17674F5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3</xdr:row>
      <xdr:rowOff>23446</xdr:rowOff>
    </xdr:from>
    <xdr:ext cx="304800" cy="282393"/>
    <xdr:sp macro="" textlink="">
      <xdr:nvSpPr>
        <xdr:cNvPr id="382" name="AutoShape 3" descr="https://www.sreality.cz/img/icon-phone.svg">
          <a:extLst>
            <a:ext uri="{FF2B5EF4-FFF2-40B4-BE49-F238E27FC236}">
              <a16:creationId xmlns:a16="http://schemas.microsoft.com/office/drawing/2014/main" id="{8B241C5C-548E-4C2D-9161-11A74FDB9AD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4</xdr:row>
      <xdr:rowOff>23446</xdr:rowOff>
    </xdr:from>
    <xdr:ext cx="304800" cy="282393"/>
    <xdr:sp macro="" textlink="">
      <xdr:nvSpPr>
        <xdr:cNvPr id="383" name="AutoShape 3" descr="https://www.sreality.cz/img/icon-phone.svg">
          <a:extLst>
            <a:ext uri="{FF2B5EF4-FFF2-40B4-BE49-F238E27FC236}">
              <a16:creationId xmlns:a16="http://schemas.microsoft.com/office/drawing/2014/main" id="{9D7D15C7-C04E-4F4F-A139-F80225B1F8F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13</xdr:row>
      <xdr:rowOff>23446</xdr:rowOff>
    </xdr:from>
    <xdr:ext cx="304800" cy="282393"/>
    <xdr:sp macro="" textlink="">
      <xdr:nvSpPr>
        <xdr:cNvPr id="384" name="AutoShape 3" descr="https://www.sreality.cz/img/icon-phone.svg">
          <a:extLst>
            <a:ext uri="{FF2B5EF4-FFF2-40B4-BE49-F238E27FC236}">
              <a16:creationId xmlns:a16="http://schemas.microsoft.com/office/drawing/2014/main" id="{38E58EDB-5616-462D-A509-1DD0B6E897B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14</xdr:row>
      <xdr:rowOff>23446</xdr:rowOff>
    </xdr:from>
    <xdr:ext cx="304800" cy="282393"/>
    <xdr:sp macro="" textlink="">
      <xdr:nvSpPr>
        <xdr:cNvPr id="385" name="AutoShape 3" descr="https://www.sreality.cz/img/icon-phone.svg">
          <a:extLst>
            <a:ext uri="{FF2B5EF4-FFF2-40B4-BE49-F238E27FC236}">
              <a16:creationId xmlns:a16="http://schemas.microsoft.com/office/drawing/2014/main" id="{1CE465B6-A1E8-4E3C-8F70-5C10628E8D7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17</xdr:row>
      <xdr:rowOff>23446</xdr:rowOff>
    </xdr:from>
    <xdr:ext cx="304800" cy="282393"/>
    <xdr:sp macro="" textlink="">
      <xdr:nvSpPr>
        <xdr:cNvPr id="386" name="AutoShape 3" descr="https://www.sreality.cz/img/icon-phone.svg">
          <a:extLst>
            <a:ext uri="{FF2B5EF4-FFF2-40B4-BE49-F238E27FC236}">
              <a16:creationId xmlns:a16="http://schemas.microsoft.com/office/drawing/2014/main" id="{6F6FAA36-A0F4-4C79-88F5-E27D6C1D519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18</xdr:row>
      <xdr:rowOff>23446</xdr:rowOff>
    </xdr:from>
    <xdr:ext cx="304800" cy="282393"/>
    <xdr:sp macro="" textlink="">
      <xdr:nvSpPr>
        <xdr:cNvPr id="387" name="AutoShape 3" descr="https://www.sreality.cz/img/icon-phone.svg">
          <a:extLst>
            <a:ext uri="{FF2B5EF4-FFF2-40B4-BE49-F238E27FC236}">
              <a16:creationId xmlns:a16="http://schemas.microsoft.com/office/drawing/2014/main" id="{0566C52D-8C29-45F9-93C0-434F9EE25FF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88" name="AutoShape 3" descr="https://www.sreality.cz/img/icon-phone.svg">
          <a:extLst>
            <a:ext uri="{FF2B5EF4-FFF2-40B4-BE49-F238E27FC236}">
              <a16:creationId xmlns:a16="http://schemas.microsoft.com/office/drawing/2014/main" id="{F389484E-2D9C-4E35-AB8B-1173BBBCDB5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89" name="AutoShape 3" descr="https://www.sreality.cz/img/icon-phone.svg">
          <a:extLst>
            <a:ext uri="{FF2B5EF4-FFF2-40B4-BE49-F238E27FC236}">
              <a16:creationId xmlns:a16="http://schemas.microsoft.com/office/drawing/2014/main" id="{65A6F89C-97C4-4C41-AE23-B5287F1ED27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0" name="AutoShape 3" descr="https://www.sreality.cz/img/icon-phone.svg">
          <a:extLst>
            <a:ext uri="{FF2B5EF4-FFF2-40B4-BE49-F238E27FC236}">
              <a16:creationId xmlns:a16="http://schemas.microsoft.com/office/drawing/2014/main" id="{61F5A132-523A-4E40-A290-C379605725D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1" name="AutoShape 3" descr="https://www.sreality.cz/img/icon-phone.svg">
          <a:extLst>
            <a:ext uri="{FF2B5EF4-FFF2-40B4-BE49-F238E27FC236}">
              <a16:creationId xmlns:a16="http://schemas.microsoft.com/office/drawing/2014/main" id="{CC2BC803-A024-425D-8E9E-BE477155C85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2" name="AutoShape 3" descr="https://www.sreality.cz/img/icon-phone.svg">
          <a:extLst>
            <a:ext uri="{FF2B5EF4-FFF2-40B4-BE49-F238E27FC236}">
              <a16:creationId xmlns:a16="http://schemas.microsoft.com/office/drawing/2014/main" id="{52198A3D-D983-4BAF-9BDE-EC2682AC90E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3" name="AutoShape 3" descr="https://www.sreality.cz/img/icon-phone.svg">
          <a:extLst>
            <a:ext uri="{FF2B5EF4-FFF2-40B4-BE49-F238E27FC236}">
              <a16:creationId xmlns:a16="http://schemas.microsoft.com/office/drawing/2014/main" id="{E2A567A5-D016-4D60-A248-A1F8D8DF560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4" name="AutoShape 3" descr="https://www.sreality.cz/img/icon-phone.svg">
          <a:extLst>
            <a:ext uri="{FF2B5EF4-FFF2-40B4-BE49-F238E27FC236}">
              <a16:creationId xmlns:a16="http://schemas.microsoft.com/office/drawing/2014/main" id="{F23FE87C-F316-45AA-9AD9-8BD894AC35C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5" name="AutoShape 3" descr="https://www.sreality.cz/img/icon-phone.svg">
          <a:extLst>
            <a:ext uri="{FF2B5EF4-FFF2-40B4-BE49-F238E27FC236}">
              <a16:creationId xmlns:a16="http://schemas.microsoft.com/office/drawing/2014/main" id="{6BF46873-C417-407D-92F8-C55E21B0A79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6" name="AutoShape 3" descr="https://www.sreality.cz/img/icon-phone.svg">
          <a:extLst>
            <a:ext uri="{FF2B5EF4-FFF2-40B4-BE49-F238E27FC236}">
              <a16:creationId xmlns:a16="http://schemas.microsoft.com/office/drawing/2014/main" id="{DFEB23DB-2558-42EC-8B3B-C6BB5847379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7" name="AutoShape 3" descr="https://www.sreality.cz/img/icon-phone.svg">
          <a:extLst>
            <a:ext uri="{FF2B5EF4-FFF2-40B4-BE49-F238E27FC236}">
              <a16:creationId xmlns:a16="http://schemas.microsoft.com/office/drawing/2014/main" id="{D1DEF71C-7760-4CC5-BD7C-B9E63B28353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8" name="AutoShape 3" descr="https://www.sreality.cz/img/icon-phone.svg">
          <a:extLst>
            <a:ext uri="{FF2B5EF4-FFF2-40B4-BE49-F238E27FC236}">
              <a16:creationId xmlns:a16="http://schemas.microsoft.com/office/drawing/2014/main" id="{0F3ECE0C-CAC9-4F85-85BE-914D7B2AD6B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399" name="AutoShape 3" descr="https://www.sreality.cz/img/icon-phone.svg">
          <a:extLst>
            <a:ext uri="{FF2B5EF4-FFF2-40B4-BE49-F238E27FC236}">
              <a16:creationId xmlns:a16="http://schemas.microsoft.com/office/drawing/2014/main" id="{600CECE6-0092-4F7C-B9AD-B1E535CC2DD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0" name="AutoShape 3" descr="https://www.sreality.cz/img/icon-phone.svg">
          <a:extLst>
            <a:ext uri="{FF2B5EF4-FFF2-40B4-BE49-F238E27FC236}">
              <a16:creationId xmlns:a16="http://schemas.microsoft.com/office/drawing/2014/main" id="{1F4EC6EE-5801-4E5B-B9A2-90F4C47C4E3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1" name="AutoShape 3" descr="https://www.sreality.cz/img/icon-phone.svg">
          <a:extLst>
            <a:ext uri="{FF2B5EF4-FFF2-40B4-BE49-F238E27FC236}">
              <a16:creationId xmlns:a16="http://schemas.microsoft.com/office/drawing/2014/main" id="{EB7BD9DD-AC83-480E-99C9-EE8CB2FEEE9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2" name="AutoShape 3" descr="https://www.sreality.cz/img/icon-phone.svg">
          <a:extLst>
            <a:ext uri="{FF2B5EF4-FFF2-40B4-BE49-F238E27FC236}">
              <a16:creationId xmlns:a16="http://schemas.microsoft.com/office/drawing/2014/main" id="{7EDDA295-C77F-4A62-9DEE-1DAF75653DD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3" name="AutoShape 3" descr="https://www.sreality.cz/img/icon-phone.svg">
          <a:extLst>
            <a:ext uri="{FF2B5EF4-FFF2-40B4-BE49-F238E27FC236}">
              <a16:creationId xmlns:a16="http://schemas.microsoft.com/office/drawing/2014/main" id="{2D2D3546-8011-450F-8AAB-499DFF88C70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4" name="AutoShape 3" descr="https://www.sreality.cz/img/icon-phone.svg">
          <a:extLst>
            <a:ext uri="{FF2B5EF4-FFF2-40B4-BE49-F238E27FC236}">
              <a16:creationId xmlns:a16="http://schemas.microsoft.com/office/drawing/2014/main" id="{0E474CD1-7E50-4252-9DAC-F84F008DB84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5" name="AutoShape 3" descr="https://www.sreality.cz/img/icon-phone.svg">
          <a:extLst>
            <a:ext uri="{FF2B5EF4-FFF2-40B4-BE49-F238E27FC236}">
              <a16:creationId xmlns:a16="http://schemas.microsoft.com/office/drawing/2014/main" id="{2F1B5D91-D5A3-49B0-8478-6D3911AD529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6" name="AutoShape 3" descr="https://www.sreality.cz/img/icon-phone.svg">
          <a:extLst>
            <a:ext uri="{FF2B5EF4-FFF2-40B4-BE49-F238E27FC236}">
              <a16:creationId xmlns:a16="http://schemas.microsoft.com/office/drawing/2014/main" id="{CDDBAA22-6C8F-4096-B80D-0EADF58B444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7" name="AutoShape 3" descr="https://www.sreality.cz/img/icon-phone.svg">
          <a:extLst>
            <a:ext uri="{FF2B5EF4-FFF2-40B4-BE49-F238E27FC236}">
              <a16:creationId xmlns:a16="http://schemas.microsoft.com/office/drawing/2014/main" id="{794234A6-3291-49AC-AF51-0D5212FE7B2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8" name="AutoShape 3" descr="https://www.sreality.cz/img/icon-phone.svg">
          <a:extLst>
            <a:ext uri="{FF2B5EF4-FFF2-40B4-BE49-F238E27FC236}">
              <a16:creationId xmlns:a16="http://schemas.microsoft.com/office/drawing/2014/main" id="{E87D2319-CA5B-4D56-88ED-8A9ABBC00C1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09" name="AutoShape 3" descr="https://www.sreality.cz/img/icon-phone.svg">
          <a:extLst>
            <a:ext uri="{FF2B5EF4-FFF2-40B4-BE49-F238E27FC236}">
              <a16:creationId xmlns:a16="http://schemas.microsoft.com/office/drawing/2014/main" id="{AA4D30E1-005E-42CE-ACAC-A29833C8370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0" name="AutoShape 3" descr="https://www.sreality.cz/img/icon-phone.svg">
          <a:extLst>
            <a:ext uri="{FF2B5EF4-FFF2-40B4-BE49-F238E27FC236}">
              <a16:creationId xmlns:a16="http://schemas.microsoft.com/office/drawing/2014/main" id="{DE50DF1B-A5E3-4161-AD99-A1A62DA740B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1" name="AutoShape 3" descr="https://www.sreality.cz/img/icon-phone.svg">
          <a:extLst>
            <a:ext uri="{FF2B5EF4-FFF2-40B4-BE49-F238E27FC236}">
              <a16:creationId xmlns:a16="http://schemas.microsoft.com/office/drawing/2014/main" id="{68358C92-35AE-455F-871D-4DF8A7FA451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2" name="AutoShape 3" descr="https://www.sreality.cz/img/icon-phone.svg">
          <a:extLst>
            <a:ext uri="{FF2B5EF4-FFF2-40B4-BE49-F238E27FC236}">
              <a16:creationId xmlns:a16="http://schemas.microsoft.com/office/drawing/2014/main" id="{B97DE819-94F1-44E3-AA88-183640A5F5A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3" name="AutoShape 3" descr="https://www.sreality.cz/img/icon-phone.svg">
          <a:extLst>
            <a:ext uri="{FF2B5EF4-FFF2-40B4-BE49-F238E27FC236}">
              <a16:creationId xmlns:a16="http://schemas.microsoft.com/office/drawing/2014/main" id="{BCDCE65B-2B73-41A8-B8FB-D976439CA53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414" name="AutoShape 3" descr="https://www.sreality.cz/img/icon-phone.svg">
          <a:extLst>
            <a:ext uri="{FF2B5EF4-FFF2-40B4-BE49-F238E27FC236}">
              <a16:creationId xmlns:a16="http://schemas.microsoft.com/office/drawing/2014/main" id="{F1824244-471C-4051-B6E1-2638DEE19C9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10</xdr:row>
      <xdr:rowOff>23446</xdr:rowOff>
    </xdr:from>
    <xdr:ext cx="304800" cy="282393"/>
    <xdr:sp macro="" textlink="">
      <xdr:nvSpPr>
        <xdr:cNvPr id="415" name="AutoShape 3" descr="https://www.sreality.cz/img/icon-phone.svg">
          <a:extLst>
            <a:ext uri="{FF2B5EF4-FFF2-40B4-BE49-F238E27FC236}">
              <a16:creationId xmlns:a16="http://schemas.microsoft.com/office/drawing/2014/main" id="{6D9721F5-CCB7-45E2-9127-3CCCCEDCA06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6" name="AutoShape 3" descr="https://www.sreality.cz/img/icon-phone.svg">
          <a:extLst>
            <a:ext uri="{FF2B5EF4-FFF2-40B4-BE49-F238E27FC236}">
              <a16:creationId xmlns:a16="http://schemas.microsoft.com/office/drawing/2014/main" id="{73414709-BB97-456B-AD7F-FB83F155E3C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7" name="AutoShape 3" descr="https://www.sreality.cz/img/icon-phone.svg">
          <a:extLst>
            <a:ext uri="{FF2B5EF4-FFF2-40B4-BE49-F238E27FC236}">
              <a16:creationId xmlns:a16="http://schemas.microsoft.com/office/drawing/2014/main" id="{ECC37894-6551-4457-B0BD-A546AE73A3D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8" name="AutoShape 3" descr="https://www.sreality.cz/img/icon-phone.svg">
          <a:extLst>
            <a:ext uri="{FF2B5EF4-FFF2-40B4-BE49-F238E27FC236}">
              <a16:creationId xmlns:a16="http://schemas.microsoft.com/office/drawing/2014/main" id="{4BD9800D-3FA1-4ECA-BF14-DB239129035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19" name="AutoShape 3" descr="https://www.sreality.cz/img/icon-phone.svg">
          <a:extLst>
            <a:ext uri="{FF2B5EF4-FFF2-40B4-BE49-F238E27FC236}">
              <a16:creationId xmlns:a16="http://schemas.microsoft.com/office/drawing/2014/main" id="{6A9B5396-30DD-4099-BA30-965B5176C51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4</xdr:row>
      <xdr:rowOff>23446</xdr:rowOff>
    </xdr:from>
    <xdr:ext cx="304800" cy="282393"/>
    <xdr:sp macro="" textlink="">
      <xdr:nvSpPr>
        <xdr:cNvPr id="420" name="AutoShape 3" descr="https://www.sreality.cz/img/icon-phone.svg">
          <a:extLst>
            <a:ext uri="{FF2B5EF4-FFF2-40B4-BE49-F238E27FC236}">
              <a16:creationId xmlns:a16="http://schemas.microsoft.com/office/drawing/2014/main" id="{FE31A771-9CD2-4F0B-9C52-0A233449CDB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5</xdr:row>
      <xdr:rowOff>23446</xdr:rowOff>
    </xdr:from>
    <xdr:ext cx="304800" cy="282393"/>
    <xdr:sp macro="" textlink="">
      <xdr:nvSpPr>
        <xdr:cNvPr id="421" name="AutoShape 3" descr="https://www.sreality.cz/img/icon-phone.svg">
          <a:extLst>
            <a:ext uri="{FF2B5EF4-FFF2-40B4-BE49-F238E27FC236}">
              <a16:creationId xmlns:a16="http://schemas.microsoft.com/office/drawing/2014/main" id="{39811AE1-7D9B-46F1-B8BF-242A8C4695B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14</xdr:row>
      <xdr:rowOff>23446</xdr:rowOff>
    </xdr:from>
    <xdr:ext cx="304800" cy="282393"/>
    <xdr:sp macro="" textlink="">
      <xdr:nvSpPr>
        <xdr:cNvPr id="422" name="AutoShape 3" descr="https://www.sreality.cz/img/icon-phone.svg">
          <a:extLst>
            <a:ext uri="{FF2B5EF4-FFF2-40B4-BE49-F238E27FC236}">
              <a16:creationId xmlns:a16="http://schemas.microsoft.com/office/drawing/2014/main" id="{55A8612E-9F72-4018-BD2B-6B7DB48C4AA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15</xdr:row>
      <xdr:rowOff>23446</xdr:rowOff>
    </xdr:from>
    <xdr:ext cx="304800" cy="282393"/>
    <xdr:sp macro="" textlink="">
      <xdr:nvSpPr>
        <xdr:cNvPr id="423" name="AutoShape 3" descr="https://www.sreality.cz/img/icon-phone.svg">
          <a:extLst>
            <a:ext uri="{FF2B5EF4-FFF2-40B4-BE49-F238E27FC236}">
              <a16:creationId xmlns:a16="http://schemas.microsoft.com/office/drawing/2014/main" id="{25CE3F81-7753-4CF2-A0E7-33E58EC554B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18</xdr:row>
      <xdr:rowOff>23446</xdr:rowOff>
    </xdr:from>
    <xdr:ext cx="304800" cy="282393"/>
    <xdr:sp macro="" textlink="">
      <xdr:nvSpPr>
        <xdr:cNvPr id="424" name="AutoShape 3" descr="https://www.sreality.cz/img/icon-phone.svg">
          <a:extLst>
            <a:ext uri="{FF2B5EF4-FFF2-40B4-BE49-F238E27FC236}">
              <a16:creationId xmlns:a16="http://schemas.microsoft.com/office/drawing/2014/main" id="{C5F4492A-1D52-4ADD-B358-1D7AF5AE3B3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19</xdr:row>
      <xdr:rowOff>23446</xdr:rowOff>
    </xdr:from>
    <xdr:ext cx="304800" cy="282393"/>
    <xdr:sp macro="" textlink="">
      <xdr:nvSpPr>
        <xdr:cNvPr id="425" name="AutoShape 3" descr="https://www.sreality.cz/img/icon-phone.svg">
          <a:extLst>
            <a:ext uri="{FF2B5EF4-FFF2-40B4-BE49-F238E27FC236}">
              <a16:creationId xmlns:a16="http://schemas.microsoft.com/office/drawing/2014/main" id="{25F3914C-F7CB-4DE9-8FE6-1651A3B8562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26" name="AutoShape 3" descr="https://www.sreality.cz/img/icon-phone.svg">
          <a:extLst>
            <a:ext uri="{FF2B5EF4-FFF2-40B4-BE49-F238E27FC236}">
              <a16:creationId xmlns:a16="http://schemas.microsoft.com/office/drawing/2014/main" id="{5BE1D562-3026-494B-928E-4AF6E46B7C1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27" name="AutoShape 3" descr="https://www.sreality.cz/img/icon-phone.svg">
          <a:extLst>
            <a:ext uri="{FF2B5EF4-FFF2-40B4-BE49-F238E27FC236}">
              <a16:creationId xmlns:a16="http://schemas.microsoft.com/office/drawing/2014/main" id="{43E4A64A-4FD3-401F-A61E-DCD138F576D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28" name="AutoShape 3" descr="https://www.sreality.cz/img/icon-phone.svg">
          <a:extLst>
            <a:ext uri="{FF2B5EF4-FFF2-40B4-BE49-F238E27FC236}">
              <a16:creationId xmlns:a16="http://schemas.microsoft.com/office/drawing/2014/main" id="{DDB2DBA9-1288-44C5-83E5-29B940D3E65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29" name="AutoShape 3" descr="https://www.sreality.cz/img/icon-phone.svg">
          <a:extLst>
            <a:ext uri="{FF2B5EF4-FFF2-40B4-BE49-F238E27FC236}">
              <a16:creationId xmlns:a16="http://schemas.microsoft.com/office/drawing/2014/main" id="{4AE884A2-E4AE-4959-8065-612A4DE3190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0" name="AutoShape 3" descr="https://www.sreality.cz/img/icon-phone.svg">
          <a:extLst>
            <a:ext uri="{FF2B5EF4-FFF2-40B4-BE49-F238E27FC236}">
              <a16:creationId xmlns:a16="http://schemas.microsoft.com/office/drawing/2014/main" id="{0AD9B0EA-6A42-46D1-8F00-3AF828E3C4D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1" name="AutoShape 3" descr="https://www.sreality.cz/img/icon-phone.svg">
          <a:extLst>
            <a:ext uri="{FF2B5EF4-FFF2-40B4-BE49-F238E27FC236}">
              <a16:creationId xmlns:a16="http://schemas.microsoft.com/office/drawing/2014/main" id="{834D994C-A43F-4E83-9A36-D3E777AD1EB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2" name="AutoShape 3" descr="https://www.sreality.cz/img/icon-phone.svg">
          <a:extLst>
            <a:ext uri="{FF2B5EF4-FFF2-40B4-BE49-F238E27FC236}">
              <a16:creationId xmlns:a16="http://schemas.microsoft.com/office/drawing/2014/main" id="{263B74BD-2D16-40B3-B4EF-886DD644D83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3" name="AutoShape 3" descr="https://www.sreality.cz/img/icon-phone.svg">
          <a:extLst>
            <a:ext uri="{FF2B5EF4-FFF2-40B4-BE49-F238E27FC236}">
              <a16:creationId xmlns:a16="http://schemas.microsoft.com/office/drawing/2014/main" id="{EAED585D-7105-4BD3-959B-3171F26D9DB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4" name="AutoShape 3" descr="https://www.sreality.cz/img/icon-phone.svg">
          <a:extLst>
            <a:ext uri="{FF2B5EF4-FFF2-40B4-BE49-F238E27FC236}">
              <a16:creationId xmlns:a16="http://schemas.microsoft.com/office/drawing/2014/main" id="{8B66CB64-2418-40CE-98DE-D4563DEF820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5" name="AutoShape 3" descr="https://www.sreality.cz/img/icon-phone.svg">
          <a:extLst>
            <a:ext uri="{FF2B5EF4-FFF2-40B4-BE49-F238E27FC236}">
              <a16:creationId xmlns:a16="http://schemas.microsoft.com/office/drawing/2014/main" id="{78515A25-6A9C-4A83-89D4-D1A180E4DFE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6" name="AutoShape 3" descr="https://www.sreality.cz/img/icon-phone.svg">
          <a:extLst>
            <a:ext uri="{FF2B5EF4-FFF2-40B4-BE49-F238E27FC236}">
              <a16:creationId xmlns:a16="http://schemas.microsoft.com/office/drawing/2014/main" id="{98950D2E-0894-4D78-B12B-F5B2B3A7082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37" name="AutoShape 3" descr="https://www.sreality.cz/img/icon-phone.svg">
          <a:extLst>
            <a:ext uri="{FF2B5EF4-FFF2-40B4-BE49-F238E27FC236}">
              <a16:creationId xmlns:a16="http://schemas.microsoft.com/office/drawing/2014/main" id="{A6B2F77E-73B3-417D-B070-DE2119E1535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</xdr:row>
      <xdr:rowOff>23446</xdr:rowOff>
    </xdr:from>
    <xdr:ext cx="304800" cy="282393"/>
    <xdr:sp macro="" textlink="">
      <xdr:nvSpPr>
        <xdr:cNvPr id="438" name="AutoShape 3" descr="https://www.sreality.cz/img/icon-phone.svg">
          <a:extLst>
            <a:ext uri="{FF2B5EF4-FFF2-40B4-BE49-F238E27FC236}">
              <a16:creationId xmlns:a16="http://schemas.microsoft.com/office/drawing/2014/main" id="{3606488D-D7A0-40E4-A557-6F7A3735DBD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</xdr:row>
      <xdr:rowOff>23446</xdr:rowOff>
    </xdr:from>
    <xdr:ext cx="304800" cy="282393"/>
    <xdr:sp macro="" textlink="">
      <xdr:nvSpPr>
        <xdr:cNvPr id="439" name="AutoShape 3" descr="https://www.sreality.cz/img/icon-phone.svg">
          <a:extLst>
            <a:ext uri="{FF2B5EF4-FFF2-40B4-BE49-F238E27FC236}">
              <a16:creationId xmlns:a16="http://schemas.microsoft.com/office/drawing/2014/main" id="{42D012EC-D568-4C50-A994-1A40CE9BC50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11</xdr:row>
      <xdr:rowOff>23446</xdr:rowOff>
    </xdr:from>
    <xdr:ext cx="304800" cy="282393"/>
    <xdr:sp macro="" textlink="">
      <xdr:nvSpPr>
        <xdr:cNvPr id="440" name="AutoShape 3" descr="https://www.sreality.cz/img/icon-phone.svg">
          <a:extLst>
            <a:ext uri="{FF2B5EF4-FFF2-40B4-BE49-F238E27FC236}">
              <a16:creationId xmlns:a16="http://schemas.microsoft.com/office/drawing/2014/main" id="{11FA6EB2-43C3-4B00-919F-9A6E893FB7A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12</xdr:row>
      <xdr:rowOff>23446</xdr:rowOff>
    </xdr:from>
    <xdr:ext cx="304800" cy="282393"/>
    <xdr:sp macro="" textlink="">
      <xdr:nvSpPr>
        <xdr:cNvPr id="441" name="AutoShape 3" descr="https://www.sreality.cz/img/icon-phone.svg">
          <a:extLst>
            <a:ext uri="{FF2B5EF4-FFF2-40B4-BE49-F238E27FC236}">
              <a16:creationId xmlns:a16="http://schemas.microsoft.com/office/drawing/2014/main" id="{A672B16A-0036-4CCF-95B9-74C48815AF0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42" name="AutoShape 3" descr="https://www.sreality.cz/img/icon-phone.svg">
          <a:extLst>
            <a:ext uri="{FF2B5EF4-FFF2-40B4-BE49-F238E27FC236}">
              <a16:creationId xmlns:a16="http://schemas.microsoft.com/office/drawing/2014/main" id="{3523467E-8C08-4E8C-8F18-713367C2D17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43" name="AutoShape 3" descr="https://www.sreality.cz/img/icon-phone.svg">
          <a:extLst>
            <a:ext uri="{FF2B5EF4-FFF2-40B4-BE49-F238E27FC236}">
              <a16:creationId xmlns:a16="http://schemas.microsoft.com/office/drawing/2014/main" id="{D38F3CC8-3E54-424F-A6C4-4759F08112D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44" name="AutoShape 3" descr="https://www.sreality.cz/img/icon-phone.svg">
          <a:extLst>
            <a:ext uri="{FF2B5EF4-FFF2-40B4-BE49-F238E27FC236}">
              <a16:creationId xmlns:a16="http://schemas.microsoft.com/office/drawing/2014/main" id="{9F188F74-B2B9-4739-828E-14F2E49DF74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45" name="AutoShape 3" descr="https://www.sreality.cz/img/icon-phone.svg">
          <a:extLst>
            <a:ext uri="{FF2B5EF4-FFF2-40B4-BE49-F238E27FC236}">
              <a16:creationId xmlns:a16="http://schemas.microsoft.com/office/drawing/2014/main" id="{AEB7E16A-6F6F-4325-8A32-E88C79AECC6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6</xdr:row>
      <xdr:rowOff>23446</xdr:rowOff>
    </xdr:from>
    <xdr:ext cx="304800" cy="282393"/>
    <xdr:sp macro="" textlink="">
      <xdr:nvSpPr>
        <xdr:cNvPr id="446" name="AutoShape 3" descr="https://www.sreality.cz/img/icon-phone.svg">
          <a:extLst>
            <a:ext uri="{FF2B5EF4-FFF2-40B4-BE49-F238E27FC236}">
              <a16:creationId xmlns:a16="http://schemas.microsoft.com/office/drawing/2014/main" id="{31358D08-5CEA-49F1-BA9A-8EBB1DD5A77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7</xdr:row>
      <xdr:rowOff>23446</xdr:rowOff>
    </xdr:from>
    <xdr:ext cx="304800" cy="282393"/>
    <xdr:sp macro="" textlink="">
      <xdr:nvSpPr>
        <xdr:cNvPr id="447" name="AutoShape 3" descr="https://www.sreality.cz/img/icon-phone.svg">
          <a:extLst>
            <a:ext uri="{FF2B5EF4-FFF2-40B4-BE49-F238E27FC236}">
              <a16:creationId xmlns:a16="http://schemas.microsoft.com/office/drawing/2014/main" id="{E06ED4FC-53B1-4280-8843-55EABB02565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16</xdr:row>
      <xdr:rowOff>23446</xdr:rowOff>
    </xdr:from>
    <xdr:ext cx="304800" cy="282393"/>
    <xdr:sp macro="" textlink="">
      <xdr:nvSpPr>
        <xdr:cNvPr id="448" name="AutoShape 3" descr="https://www.sreality.cz/img/icon-phone.svg">
          <a:extLst>
            <a:ext uri="{FF2B5EF4-FFF2-40B4-BE49-F238E27FC236}">
              <a16:creationId xmlns:a16="http://schemas.microsoft.com/office/drawing/2014/main" id="{0880BAFA-1614-4603-8723-7FCFC9E5DBB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17</xdr:row>
      <xdr:rowOff>23446</xdr:rowOff>
    </xdr:from>
    <xdr:ext cx="304800" cy="282393"/>
    <xdr:sp macro="" textlink="">
      <xdr:nvSpPr>
        <xdr:cNvPr id="449" name="AutoShape 3" descr="https://www.sreality.cz/img/icon-phone.svg">
          <a:extLst>
            <a:ext uri="{FF2B5EF4-FFF2-40B4-BE49-F238E27FC236}">
              <a16:creationId xmlns:a16="http://schemas.microsoft.com/office/drawing/2014/main" id="{EF3D063B-3575-4520-BB95-2D70DE7B9BC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20</xdr:row>
      <xdr:rowOff>23446</xdr:rowOff>
    </xdr:from>
    <xdr:ext cx="304800" cy="282393"/>
    <xdr:sp macro="" textlink="">
      <xdr:nvSpPr>
        <xdr:cNvPr id="450" name="AutoShape 3" descr="https://www.sreality.cz/img/icon-phone.svg">
          <a:extLst>
            <a:ext uri="{FF2B5EF4-FFF2-40B4-BE49-F238E27FC236}">
              <a16:creationId xmlns:a16="http://schemas.microsoft.com/office/drawing/2014/main" id="{39096BE5-38F1-4558-854A-E9ED32E53FA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21</xdr:row>
      <xdr:rowOff>23446</xdr:rowOff>
    </xdr:from>
    <xdr:ext cx="304800" cy="282393"/>
    <xdr:sp macro="" textlink="">
      <xdr:nvSpPr>
        <xdr:cNvPr id="451" name="AutoShape 3" descr="https://www.sreality.cz/img/icon-phone.svg">
          <a:extLst>
            <a:ext uri="{FF2B5EF4-FFF2-40B4-BE49-F238E27FC236}">
              <a16:creationId xmlns:a16="http://schemas.microsoft.com/office/drawing/2014/main" id="{547A5882-34FF-4775-9BE6-C062EC175A0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6</xdr:row>
      <xdr:rowOff>23446</xdr:rowOff>
    </xdr:from>
    <xdr:ext cx="304800" cy="282393"/>
    <xdr:sp macro="" textlink="">
      <xdr:nvSpPr>
        <xdr:cNvPr id="452" name="AutoShape 3" descr="https://www.sreality.cz/img/icon-phone.svg">
          <a:extLst>
            <a:ext uri="{FF2B5EF4-FFF2-40B4-BE49-F238E27FC236}">
              <a16:creationId xmlns:a16="http://schemas.microsoft.com/office/drawing/2014/main" id="{1C91EFCD-897C-493D-A307-68EE7E0CBFF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7</xdr:row>
      <xdr:rowOff>23446</xdr:rowOff>
    </xdr:from>
    <xdr:ext cx="304800" cy="282393"/>
    <xdr:sp macro="" textlink="">
      <xdr:nvSpPr>
        <xdr:cNvPr id="453" name="AutoShape 3" descr="https://www.sreality.cz/img/icon-phone.svg">
          <a:extLst>
            <a:ext uri="{FF2B5EF4-FFF2-40B4-BE49-F238E27FC236}">
              <a16:creationId xmlns:a16="http://schemas.microsoft.com/office/drawing/2014/main" id="{F747A723-3D53-4CB3-8EC2-203FE633373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16</xdr:row>
      <xdr:rowOff>23446</xdr:rowOff>
    </xdr:from>
    <xdr:ext cx="304800" cy="282393"/>
    <xdr:sp macro="" textlink="">
      <xdr:nvSpPr>
        <xdr:cNvPr id="454" name="AutoShape 3" descr="https://www.sreality.cz/img/icon-phone.svg">
          <a:extLst>
            <a:ext uri="{FF2B5EF4-FFF2-40B4-BE49-F238E27FC236}">
              <a16:creationId xmlns:a16="http://schemas.microsoft.com/office/drawing/2014/main" id="{A9F75E92-A04F-48C3-A060-51ED343E5AB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17</xdr:row>
      <xdr:rowOff>23446</xdr:rowOff>
    </xdr:from>
    <xdr:ext cx="304800" cy="282393"/>
    <xdr:sp macro="" textlink="">
      <xdr:nvSpPr>
        <xdr:cNvPr id="455" name="AutoShape 3" descr="https://www.sreality.cz/img/icon-phone.svg">
          <a:extLst>
            <a:ext uri="{FF2B5EF4-FFF2-40B4-BE49-F238E27FC236}">
              <a16:creationId xmlns:a16="http://schemas.microsoft.com/office/drawing/2014/main" id="{A2E81328-D25A-4C66-B445-63AA2CEFC5B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56" name="AutoShape 3" descr="https://www.sreality.cz/img/icon-phone.svg">
          <a:extLst>
            <a:ext uri="{FF2B5EF4-FFF2-40B4-BE49-F238E27FC236}">
              <a16:creationId xmlns:a16="http://schemas.microsoft.com/office/drawing/2014/main" id="{DE21E22C-975F-4107-9AE6-13FDB570394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57" name="AutoShape 3" descr="https://www.sreality.cz/img/icon-phone.svg">
          <a:extLst>
            <a:ext uri="{FF2B5EF4-FFF2-40B4-BE49-F238E27FC236}">
              <a16:creationId xmlns:a16="http://schemas.microsoft.com/office/drawing/2014/main" id="{331F2ABB-D443-4744-9B06-DBC62BE1431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58" name="AutoShape 3" descr="https://www.sreality.cz/img/icon-phone.svg">
          <a:extLst>
            <a:ext uri="{FF2B5EF4-FFF2-40B4-BE49-F238E27FC236}">
              <a16:creationId xmlns:a16="http://schemas.microsoft.com/office/drawing/2014/main" id="{9E69451F-087F-40E6-9D94-CF02B2FF451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59" name="AutoShape 3" descr="https://www.sreality.cz/img/icon-phone.svg">
          <a:extLst>
            <a:ext uri="{FF2B5EF4-FFF2-40B4-BE49-F238E27FC236}">
              <a16:creationId xmlns:a16="http://schemas.microsoft.com/office/drawing/2014/main" id="{58B49E40-C693-4266-82B9-24CFA2F0254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0" name="AutoShape 3" descr="https://www.sreality.cz/img/icon-phone.svg">
          <a:extLst>
            <a:ext uri="{FF2B5EF4-FFF2-40B4-BE49-F238E27FC236}">
              <a16:creationId xmlns:a16="http://schemas.microsoft.com/office/drawing/2014/main" id="{83585436-CFEC-4B26-B942-C8F549039F9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1" name="AutoShape 3" descr="https://www.sreality.cz/img/icon-phone.svg">
          <a:extLst>
            <a:ext uri="{FF2B5EF4-FFF2-40B4-BE49-F238E27FC236}">
              <a16:creationId xmlns:a16="http://schemas.microsoft.com/office/drawing/2014/main" id="{4B9AA414-45BD-430D-A0B8-A149645F535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2" name="AutoShape 3" descr="https://www.sreality.cz/img/icon-phone.svg">
          <a:extLst>
            <a:ext uri="{FF2B5EF4-FFF2-40B4-BE49-F238E27FC236}">
              <a16:creationId xmlns:a16="http://schemas.microsoft.com/office/drawing/2014/main" id="{BB4ED412-AAEE-46F2-AD9B-2A3C223A648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3" name="AutoShape 3" descr="https://www.sreality.cz/img/icon-phone.svg">
          <a:extLst>
            <a:ext uri="{FF2B5EF4-FFF2-40B4-BE49-F238E27FC236}">
              <a16:creationId xmlns:a16="http://schemas.microsoft.com/office/drawing/2014/main" id="{28EAC5D7-97E7-4E11-8CA6-E9A0A79B76C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4" name="AutoShape 3" descr="https://www.sreality.cz/img/icon-phone.svg">
          <a:extLst>
            <a:ext uri="{FF2B5EF4-FFF2-40B4-BE49-F238E27FC236}">
              <a16:creationId xmlns:a16="http://schemas.microsoft.com/office/drawing/2014/main" id="{85EE5B11-972B-4042-81D4-9D1EB405195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5" name="AutoShape 3" descr="https://www.sreality.cz/img/icon-phone.svg">
          <a:extLst>
            <a:ext uri="{FF2B5EF4-FFF2-40B4-BE49-F238E27FC236}">
              <a16:creationId xmlns:a16="http://schemas.microsoft.com/office/drawing/2014/main" id="{C923026B-E3EB-4A6D-AE38-C2082632437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6" name="AutoShape 3" descr="https://www.sreality.cz/img/icon-phone.svg">
          <a:extLst>
            <a:ext uri="{FF2B5EF4-FFF2-40B4-BE49-F238E27FC236}">
              <a16:creationId xmlns:a16="http://schemas.microsoft.com/office/drawing/2014/main" id="{D65DDEBA-8FB5-4095-919A-030991F60E2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7" name="AutoShape 3" descr="https://www.sreality.cz/img/icon-phone.svg">
          <a:extLst>
            <a:ext uri="{FF2B5EF4-FFF2-40B4-BE49-F238E27FC236}">
              <a16:creationId xmlns:a16="http://schemas.microsoft.com/office/drawing/2014/main" id="{4A036866-F3A8-4453-9BCE-1F569666744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8" name="AutoShape 3" descr="https://www.sreality.cz/img/icon-phone.svg">
          <a:extLst>
            <a:ext uri="{FF2B5EF4-FFF2-40B4-BE49-F238E27FC236}">
              <a16:creationId xmlns:a16="http://schemas.microsoft.com/office/drawing/2014/main" id="{EB6F57E0-F867-4742-AE02-BC623B7B320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69" name="AutoShape 3" descr="https://www.sreality.cz/img/icon-phone.svg">
          <a:extLst>
            <a:ext uri="{FF2B5EF4-FFF2-40B4-BE49-F238E27FC236}">
              <a16:creationId xmlns:a16="http://schemas.microsoft.com/office/drawing/2014/main" id="{DFF40185-FF94-40E0-89FE-D4A525B0B2E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0" name="AutoShape 3" descr="https://www.sreality.cz/img/icon-phone.svg">
          <a:extLst>
            <a:ext uri="{FF2B5EF4-FFF2-40B4-BE49-F238E27FC236}">
              <a16:creationId xmlns:a16="http://schemas.microsoft.com/office/drawing/2014/main" id="{B3F2499F-71DF-402D-9C7E-90614562890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1" name="AutoShape 3" descr="https://www.sreality.cz/img/icon-phone.svg">
          <a:extLst>
            <a:ext uri="{FF2B5EF4-FFF2-40B4-BE49-F238E27FC236}">
              <a16:creationId xmlns:a16="http://schemas.microsoft.com/office/drawing/2014/main" id="{88B2DF1A-3BD5-4F6D-BE2B-1B3FE71EADB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2" name="AutoShape 3" descr="https://www.sreality.cz/img/icon-phone.svg">
          <a:extLst>
            <a:ext uri="{FF2B5EF4-FFF2-40B4-BE49-F238E27FC236}">
              <a16:creationId xmlns:a16="http://schemas.microsoft.com/office/drawing/2014/main" id="{AB99FA0C-757A-4F99-ADCF-56972AE237E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3" name="AutoShape 3" descr="https://www.sreality.cz/img/icon-phone.svg">
          <a:extLst>
            <a:ext uri="{FF2B5EF4-FFF2-40B4-BE49-F238E27FC236}">
              <a16:creationId xmlns:a16="http://schemas.microsoft.com/office/drawing/2014/main" id="{23B6D315-D93A-49E8-B37F-25E82C21745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4" name="AutoShape 3" descr="https://www.sreality.cz/img/icon-phone.svg">
          <a:extLst>
            <a:ext uri="{FF2B5EF4-FFF2-40B4-BE49-F238E27FC236}">
              <a16:creationId xmlns:a16="http://schemas.microsoft.com/office/drawing/2014/main" id="{0F86BFC3-EB51-4E60-8B4B-335CE9992AC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5" name="AutoShape 3" descr="https://www.sreality.cz/img/icon-phone.svg">
          <a:extLst>
            <a:ext uri="{FF2B5EF4-FFF2-40B4-BE49-F238E27FC236}">
              <a16:creationId xmlns:a16="http://schemas.microsoft.com/office/drawing/2014/main" id="{CE7C8433-CD17-400D-9BA0-1F99EA32A90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6" name="AutoShape 3" descr="https://www.sreality.cz/img/icon-phone.svg">
          <a:extLst>
            <a:ext uri="{FF2B5EF4-FFF2-40B4-BE49-F238E27FC236}">
              <a16:creationId xmlns:a16="http://schemas.microsoft.com/office/drawing/2014/main" id="{B3B79315-4258-49A3-ACB9-053BE7D0E18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7" name="AutoShape 3" descr="https://www.sreality.cz/img/icon-phone.svg">
          <a:extLst>
            <a:ext uri="{FF2B5EF4-FFF2-40B4-BE49-F238E27FC236}">
              <a16:creationId xmlns:a16="http://schemas.microsoft.com/office/drawing/2014/main" id="{D7AA4EB9-BF2C-4743-98D2-A38502BB4E2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8" name="AutoShape 3" descr="https://www.sreality.cz/img/icon-phone.svg">
          <a:extLst>
            <a:ext uri="{FF2B5EF4-FFF2-40B4-BE49-F238E27FC236}">
              <a16:creationId xmlns:a16="http://schemas.microsoft.com/office/drawing/2014/main" id="{A07C083E-AD7F-44B7-B468-B53D512E263F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79" name="AutoShape 3" descr="https://www.sreality.cz/img/icon-phone.svg">
          <a:extLst>
            <a:ext uri="{FF2B5EF4-FFF2-40B4-BE49-F238E27FC236}">
              <a16:creationId xmlns:a16="http://schemas.microsoft.com/office/drawing/2014/main" id="{86E3FF0F-FA3A-47ED-988A-5B1B738C065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80" name="AutoShape 3" descr="https://www.sreality.cz/img/icon-phone.svg">
          <a:extLst>
            <a:ext uri="{FF2B5EF4-FFF2-40B4-BE49-F238E27FC236}">
              <a16:creationId xmlns:a16="http://schemas.microsoft.com/office/drawing/2014/main" id="{0145658C-AA96-44B3-9479-9BF017FE7C8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81" name="AutoShape 3" descr="https://www.sreality.cz/img/icon-phone.svg">
          <a:extLst>
            <a:ext uri="{FF2B5EF4-FFF2-40B4-BE49-F238E27FC236}">
              <a16:creationId xmlns:a16="http://schemas.microsoft.com/office/drawing/2014/main" id="{5B5AA497-58E6-40B8-B514-CAB0768968D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</xdr:row>
      <xdr:rowOff>23446</xdr:rowOff>
    </xdr:from>
    <xdr:ext cx="304800" cy="282393"/>
    <xdr:sp macro="" textlink="">
      <xdr:nvSpPr>
        <xdr:cNvPr id="482" name="AutoShape 3" descr="https://www.sreality.cz/img/icon-phone.svg">
          <a:extLst>
            <a:ext uri="{FF2B5EF4-FFF2-40B4-BE49-F238E27FC236}">
              <a16:creationId xmlns:a16="http://schemas.microsoft.com/office/drawing/2014/main" id="{EBBA52FE-A5F1-4D3F-8128-FFD81A1D85F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</xdr:row>
      <xdr:rowOff>23446</xdr:rowOff>
    </xdr:from>
    <xdr:ext cx="304800" cy="282393"/>
    <xdr:sp macro="" textlink="">
      <xdr:nvSpPr>
        <xdr:cNvPr id="483" name="AutoShape 3" descr="https://www.sreality.cz/img/icon-phone.svg">
          <a:extLst>
            <a:ext uri="{FF2B5EF4-FFF2-40B4-BE49-F238E27FC236}">
              <a16:creationId xmlns:a16="http://schemas.microsoft.com/office/drawing/2014/main" id="{38F11741-4775-41D1-BE61-E19EB46865D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11</xdr:row>
      <xdr:rowOff>23446</xdr:rowOff>
    </xdr:from>
    <xdr:ext cx="304800" cy="282393"/>
    <xdr:sp macro="" textlink="">
      <xdr:nvSpPr>
        <xdr:cNvPr id="484" name="AutoShape 3" descr="https://www.sreality.cz/img/icon-phone.svg">
          <a:extLst>
            <a:ext uri="{FF2B5EF4-FFF2-40B4-BE49-F238E27FC236}">
              <a16:creationId xmlns:a16="http://schemas.microsoft.com/office/drawing/2014/main" id="{5637ACAD-94A1-4CDE-A5C8-2A489874EF1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12</xdr:row>
      <xdr:rowOff>23446</xdr:rowOff>
    </xdr:from>
    <xdr:ext cx="304800" cy="282393"/>
    <xdr:sp macro="" textlink="">
      <xdr:nvSpPr>
        <xdr:cNvPr id="485" name="AutoShape 3" descr="https://www.sreality.cz/img/icon-phone.svg">
          <a:extLst>
            <a:ext uri="{FF2B5EF4-FFF2-40B4-BE49-F238E27FC236}">
              <a16:creationId xmlns:a16="http://schemas.microsoft.com/office/drawing/2014/main" id="{EA430CB3-BD8C-4F63-A325-CBA67F89314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86" name="AutoShape 3" descr="https://www.sreality.cz/img/icon-phone.svg">
          <a:extLst>
            <a:ext uri="{FF2B5EF4-FFF2-40B4-BE49-F238E27FC236}">
              <a16:creationId xmlns:a16="http://schemas.microsoft.com/office/drawing/2014/main" id="{08658723-F227-4F70-872F-FD0DD6A0927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87" name="AutoShape 3" descr="https://www.sreality.cz/img/icon-phone.svg">
          <a:extLst>
            <a:ext uri="{FF2B5EF4-FFF2-40B4-BE49-F238E27FC236}">
              <a16:creationId xmlns:a16="http://schemas.microsoft.com/office/drawing/2014/main" id="{C2BD3F5E-3CB1-4229-AA88-A97573EB1B4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88" name="AutoShape 3" descr="https://www.sreality.cz/img/icon-phone.svg">
          <a:extLst>
            <a:ext uri="{FF2B5EF4-FFF2-40B4-BE49-F238E27FC236}">
              <a16:creationId xmlns:a16="http://schemas.microsoft.com/office/drawing/2014/main" id="{1F835353-6C2B-4A0A-897A-87EFC6A43F5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89" name="AutoShape 3" descr="https://www.sreality.cz/img/icon-phone.svg">
          <a:extLst>
            <a:ext uri="{FF2B5EF4-FFF2-40B4-BE49-F238E27FC236}">
              <a16:creationId xmlns:a16="http://schemas.microsoft.com/office/drawing/2014/main" id="{2BED80E7-02E9-4EE3-9BDB-674ECA30F45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6</xdr:row>
      <xdr:rowOff>23446</xdr:rowOff>
    </xdr:from>
    <xdr:ext cx="304800" cy="282393"/>
    <xdr:sp macro="" textlink="">
      <xdr:nvSpPr>
        <xdr:cNvPr id="490" name="AutoShape 3" descr="https://www.sreality.cz/img/icon-phone.svg">
          <a:extLst>
            <a:ext uri="{FF2B5EF4-FFF2-40B4-BE49-F238E27FC236}">
              <a16:creationId xmlns:a16="http://schemas.microsoft.com/office/drawing/2014/main" id="{3363CDA8-EF85-4DC0-805A-16AF8E6AC2F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7</xdr:row>
      <xdr:rowOff>23446</xdr:rowOff>
    </xdr:from>
    <xdr:ext cx="304800" cy="282393"/>
    <xdr:sp macro="" textlink="">
      <xdr:nvSpPr>
        <xdr:cNvPr id="491" name="AutoShape 3" descr="https://www.sreality.cz/img/icon-phone.svg">
          <a:extLst>
            <a:ext uri="{FF2B5EF4-FFF2-40B4-BE49-F238E27FC236}">
              <a16:creationId xmlns:a16="http://schemas.microsoft.com/office/drawing/2014/main" id="{336D0851-73F6-4331-97A5-6790F622FF7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16</xdr:row>
      <xdr:rowOff>23446</xdr:rowOff>
    </xdr:from>
    <xdr:ext cx="304800" cy="282393"/>
    <xdr:sp macro="" textlink="">
      <xdr:nvSpPr>
        <xdr:cNvPr id="492" name="AutoShape 3" descr="https://www.sreality.cz/img/icon-phone.svg">
          <a:extLst>
            <a:ext uri="{FF2B5EF4-FFF2-40B4-BE49-F238E27FC236}">
              <a16:creationId xmlns:a16="http://schemas.microsoft.com/office/drawing/2014/main" id="{29125B47-63B1-49A5-B150-EBC687C10CB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17</xdr:row>
      <xdr:rowOff>23446</xdr:rowOff>
    </xdr:from>
    <xdr:ext cx="304800" cy="282393"/>
    <xdr:sp macro="" textlink="">
      <xdr:nvSpPr>
        <xdr:cNvPr id="493" name="AutoShape 3" descr="https://www.sreality.cz/img/icon-phone.svg">
          <a:extLst>
            <a:ext uri="{FF2B5EF4-FFF2-40B4-BE49-F238E27FC236}">
              <a16:creationId xmlns:a16="http://schemas.microsoft.com/office/drawing/2014/main" id="{9468A384-C4C0-4FE2-B834-065A3259F4E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20</xdr:row>
      <xdr:rowOff>23446</xdr:rowOff>
    </xdr:from>
    <xdr:ext cx="304800" cy="282393"/>
    <xdr:sp macro="" textlink="">
      <xdr:nvSpPr>
        <xdr:cNvPr id="494" name="AutoShape 3" descr="https://www.sreality.cz/img/icon-phone.svg">
          <a:extLst>
            <a:ext uri="{FF2B5EF4-FFF2-40B4-BE49-F238E27FC236}">
              <a16:creationId xmlns:a16="http://schemas.microsoft.com/office/drawing/2014/main" id="{7B7FAF43-2A27-477D-B139-F2D0DAF42F9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21</xdr:row>
      <xdr:rowOff>23446</xdr:rowOff>
    </xdr:from>
    <xdr:ext cx="304800" cy="282393"/>
    <xdr:sp macro="" textlink="">
      <xdr:nvSpPr>
        <xdr:cNvPr id="495" name="AutoShape 3" descr="https://www.sreality.cz/img/icon-phone.svg">
          <a:extLst>
            <a:ext uri="{FF2B5EF4-FFF2-40B4-BE49-F238E27FC236}">
              <a16:creationId xmlns:a16="http://schemas.microsoft.com/office/drawing/2014/main" id="{25D6B817-93C9-4FAA-9C4A-C3B38443A54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96" name="AutoShape 3" descr="https://www.sreality.cz/img/icon-phone.svg">
          <a:extLst>
            <a:ext uri="{FF2B5EF4-FFF2-40B4-BE49-F238E27FC236}">
              <a16:creationId xmlns:a16="http://schemas.microsoft.com/office/drawing/2014/main" id="{CEB12BA9-B310-425D-B6FD-F868509B6A0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97" name="AutoShape 3" descr="https://www.sreality.cz/img/icon-phone.svg">
          <a:extLst>
            <a:ext uri="{FF2B5EF4-FFF2-40B4-BE49-F238E27FC236}">
              <a16:creationId xmlns:a16="http://schemas.microsoft.com/office/drawing/2014/main" id="{D6DF31C3-5DCB-4B78-8B73-1BC4817FBE5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98" name="AutoShape 3" descr="https://www.sreality.cz/img/icon-phone.svg">
          <a:extLst>
            <a:ext uri="{FF2B5EF4-FFF2-40B4-BE49-F238E27FC236}">
              <a16:creationId xmlns:a16="http://schemas.microsoft.com/office/drawing/2014/main" id="{CB460188-68F5-4A89-9234-6619FCA42D4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499" name="AutoShape 3" descr="https://www.sreality.cz/img/icon-phone.svg">
          <a:extLst>
            <a:ext uri="{FF2B5EF4-FFF2-40B4-BE49-F238E27FC236}">
              <a16:creationId xmlns:a16="http://schemas.microsoft.com/office/drawing/2014/main" id="{CC2B8640-4F7D-4B35-91AE-31EB506DE26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0" name="AutoShape 3" descr="https://www.sreality.cz/img/icon-phone.svg">
          <a:extLst>
            <a:ext uri="{FF2B5EF4-FFF2-40B4-BE49-F238E27FC236}">
              <a16:creationId xmlns:a16="http://schemas.microsoft.com/office/drawing/2014/main" id="{C694AC32-96EA-4428-A090-34A5122D0DB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1" name="AutoShape 3" descr="https://www.sreality.cz/img/icon-phone.svg">
          <a:extLst>
            <a:ext uri="{FF2B5EF4-FFF2-40B4-BE49-F238E27FC236}">
              <a16:creationId xmlns:a16="http://schemas.microsoft.com/office/drawing/2014/main" id="{9A7E0409-5AF8-4BAE-9850-5076DAC2B1D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2" name="AutoShape 3" descr="https://www.sreality.cz/img/icon-phone.svg">
          <a:extLst>
            <a:ext uri="{FF2B5EF4-FFF2-40B4-BE49-F238E27FC236}">
              <a16:creationId xmlns:a16="http://schemas.microsoft.com/office/drawing/2014/main" id="{73A335ED-D310-4ACC-B179-D1C96972D23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3" name="AutoShape 3" descr="https://www.sreality.cz/img/icon-phone.svg">
          <a:extLst>
            <a:ext uri="{FF2B5EF4-FFF2-40B4-BE49-F238E27FC236}">
              <a16:creationId xmlns:a16="http://schemas.microsoft.com/office/drawing/2014/main" id="{21A85E74-48E4-4F3A-9A4D-6B95714C68D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4" name="AutoShape 3" descr="https://www.sreality.cz/img/icon-phone.svg">
          <a:extLst>
            <a:ext uri="{FF2B5EF4-FFF2-40B4-BE49-F238E27FC236}">
              <a16:creationId xmlns:a16="http://schemas.microsoft.com/office/drawing/2014/main" id="{95CBBE62-CE26-4D60-A6EF-B134BD7DF9D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5" name="AutoShape 3" descr="https://www.sreality.cz/img/icon-phone.svg">
          <a:extLst>
            <a:ext uri="{FF2B5EF4-FFF2-40B4-BE49-F238E27FC236}">
              <a16:creationId xmlns:a16="http://schemas.microsoft.com/office/drawing/2014/main" id="{26E512F9-1348-498F-ADDA-B93EA6C2AF4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6" name="AutoShape 3" descr="https://www.sreality.cz/img/icon-phone.svg">
          <a:extLst>
            <a:ext uri="{FF2B5EF4-FFF2-40B4-BE49-F238E27FC236}">
              <a16:creationId xmlns:a16="http://schemas.microsoft.com/office/drawing/2014/main" id="{9EAFC058-79C5-45F7-BBA5-126A8895094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07" name="AutoShape 3" descr="https://www.sreality.cz/img/icon-phone.svg">
          <a:extLst>
            <a:ext uri="{FF2B5EF4-FFF2-40B4-BE49-F238E27FC236}">
              <a16:creationId xmlns:a16="http://schemas.microsoft.com/office/drawing/2014/main" id="{A83414ED-9A5E-411E-854A-5B238A03F669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3</xdr:row>
      <xdr:rowOff>23446</xdr:rowOff>
    </xdr:from>
    <xdr:ext cx="304800" cy="282393"/>
    <xdr:sp macro="" textlink="">
      <xdr:nvSpPr>
        <xdr:cNvPr id="508" name="AutoShape 3" descr="https://www.sreality.cz/img/icon-phone.svg">
          <a:extLst>
            <a:ext uri="{FF2B5EF4-FFF2-40B4-BE49-F238E27FC236}">
              <a16:creationId xmlns:a16="http://schemas.microsoft.com/office/drawing/2014/main" id="{81A07235-C904-40DC-A608-854BC0259FA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4</xdr:row>
      <xdr:rowOff>23446</xdr:rowOff>
    </xdr:from>
    <xdr:ext cx="304800" cy="282393"/>
    <xdr:sp macro="" textlink="">
      <xdr:nvSpPr>
        <xdr:cNvPr id="509" name="AutoShape 3" descr="https://www.sreality.cz/img/icon-phone.svg">
          <a:extLst>
            <a:ext uri="{FF2B5EF4-FFF2-40B4-BE49-F238E27FC236}">
              <a16:creationId xmlns:a16="http://schemas.microsoft.com/office/drawing/2014/main" id="{7F8A050D-D2F5-41F2-AD14-9552CADD121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13</xdr:row>
      <xdr:rowOff>23446</xdr:rowOff>
    </xdr:from>
    <xdr:ext cx="304800" cy="282393"/>
    <xdr:sp macro="" textlink="">
      <xdr:nvSpPr>
        <xdr:cNvPr id="510" name="AutoShape 3" descr="https://www.sreality.cz/img/icon-phone.svg">
          <a:extLst>
            <a:ext uri="{FF2B5EF4-FFF2-40B4-BE49-F238E27FC236}">
              <a16:creationId xmlns:a16="http://schemas.microsoft.com/office/drawing/2014/main" id="{3C6D326E-B6F9-4BE4-9032-F80AD253B9C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14</xdr:row>
      <xdr:rowOff>23446</xdr:rowOff>
    </xdr:from>
    <xdr:ext cx="304800" cy="282393"/>
    <xdr:sp macro="" textlink="">
      <xdr:nvSpPr>
        <xdr:cNvPr id="511" name="AutoShape 3" descr="https://www.sreality.cz/img/icon-phone.svg">
          <a:extLst>
            <a:ext uri="{FF2B5EF4-FFF2-40B4-BE49-F238E27FC236}">
              <a16:creationId xmlns:a16="http://schemas.microsoft.com/office/drawing/2014/main" id="{CC948E91-46DB-42A8-AC99-B2CB70F42D9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12" name="AutoShape 3" descr="https://www.sreality.cz/img/icon-phone.svg">
          <a:extLst>
            <a:ext uri="{FF2B5EF4-FFF2-40B4-BE49-F238E27FC236}">
              <a16:creationId xmlns:a16="http://schemas.microsoft.com/office/drawing/2014/main" id="{A736F0B4-6385-4070-BA25-731F53CCF5A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13" name="AutoShape 3" descr="https://www.sreality.cz/img/icon-phone.svg">
          <a:extLst>
            <a:ext uri="{FF2B5EF4-FFF2-40B4-BE49-F238E27FC236}">
              <a16:creationId xmlns:a16="http://schemas.microsoft.com/office/drawing/2014/main" id="{8728CDFE-7228-4CA3-8ECB-A3281792E10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14" name="AutoShape 3" descr="https://www.sreality.cz/img/icon-phone.svg">
          <a:extLst>
            <a:ext uri="{FF2B5EF4-FFF2-40B4-BE49-F238E27FC236}">
              <a16:creationId xmlns:a16="http://schemas.microsoft.com/office/drawing/2014/main" id="{CFBA853A-7CEB-4FE2-857E-F3D56D02E1B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15" name="AutoShape 3" descr="https://www.sreality.cz/img/icon-phone.svg">
          <a:extLst>
            <a:ext uri="{FF2B5EF4-FFF2-40B4-BE49-F238E27FC236}">
              <a16:creationId xmlns:a16="http://schemas.microsoft.com/office/drawing/2014/main" id="{B0815F6E-2999-42A2-BBDA-215B9932E97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8</xdr:row>
      <xdr:rowOff>23446</xdr:rowOff>
    </xdr:from>
    <xdr:ext cx="304800" cy="282393"/>
    <xdr:sp macro="" textlink="">
      <xdr:nvSpPr>
        <xdr:cNvPr id="516" name="AutoShape 3" descr="https://www.sreality.cz/img/icon-phone.svg">
          <a:extLst>
            <a:ext uri="{FF2B5EF4-FFF2-40B4-BE49-F238E27FC236}">
              <a16:creationId xmlns:a16="http://schemas.microsoft.com/office/drawing/2014/main" id="{8AD6A6C9-7E82-4DA0-B40B-12AB368DEED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517" name="AutoShape 3" descr="https://www.sreality.cz/img/icon-phone.svg">
          <a:extLst>
            <a:ext uri="{FF2B5EF4-FFF2-40B4-BE49-F238E27FC236}">
              <a16:creationId xmlns:a16="http://schemas.microsoft.com/office/drawing/2014/main" id="{2303F294-46E5-4194-9C60-84F8B36FFE5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18</xdr:row>
      <xdr:rowOff>23446</xdr:rowOff>
    </xdr:from>
    <xdr:ext cx="304800" cy="282393"/>
    <xdr:sp macro="" textlink="">
      <xdr:nvSpPr>
        <xdr:cNvPr id="518" name="AutoShape 3" descr="https://www.sreality.cz/img/icon-phone.svg">
          <a:extLst>
            <a:ext uri="{FF2B5EF4-FFF2-40B4-BE49-F238E27FC236}">
              <a16:creationId xmlns:a16="http://schemas.microsoft.com/office/drawing/2014/main" id="{8240A37A-882E-4305-9903-33233AD23DD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19</xdr:row>
      <xdr:rowOff>23446</xdr:rowOff>
    </xdr:from>
    <xdr:ext cx="304800" cy="282393"/>
    <xdr:sp macro="" textlink="">
      <xdr:nvSpPr>
        <xdr:cNvPr id="519" name="AutoShape 3" descr="https://www.sreality.cz/img/icon-phone.svg">
          <a:extLst>
            <a:ext uri="{FF2B5EF4-FFF2-40B4-BE49-F238E27FC236}">
              <a16:creationId xmlns:a16="http://schemas.microsoft.com/office/drawing/2014/main" id="{877EEAA6-C1F2-4B4B-A721-C6FB79DB21A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22</xdr:row>
      <xdr:rowOff>23446</xdr:rowOff>
    </xdr:from>
    <xdr:ext cx="304800" cy="282393"/>
    <xdr:sp macro="" textlink="">
      <xdr:nvSpPr>
        <xdr:cNvPr id="520" name="AutoShape 3" descr="https://www.sreality.cz/img/icon-phone.svg">
          <a:extLst>
            <a:ext uri="{FF2B5EF4-FFF2-40B4-BE49-F238E27FC236}">
              <a16:creationId xmlns:a16="http://schemas.microsoft.com/office/drawing/2014/main" id="{9293A42B-F392-4A42-97A5-175A107AEA4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23</xdr:row>
      <xdr:rowOff>23446</xdr:rowOff>
    </xdr:from>
    <xdr:ext cx="304800" cy="282393"/>
    <xdr:sp macro="" textlink="">
      <xdr:nvSpPr>
        <xdr:cNvPr id="521" name="AutoShape 3" descr="https://www.sreality.cz/img/icon-phone.svg">
          <a:extLst>
            <a:ext uri="{FF2B5EF4-FFF2-40B4-BE49-F238E27FC236}">
              <a16:creationId xmlns:a16="http://schemas.microsoft.com/office/drawing/2014/main" id="{97E0B808-7BB1-47D7-9550-0885107E23E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8</xdr:row>
      <xdr:rowOff>23446</xdr:rowOff>
    </xdr:from>
    <xdr:ext cx="304800" cy="282393"/>
    <xdr:sp macro="" textlink="">
      <xdr:nvSpPr>
        <xdr:cNvPr id="522" name="AutoShape 3" descr="https://www.sreality.cz/img/icon-phone.svg">
          <a:extLst>
            <a:ext uri="{FF2B5EF4-FFF2-40B4-BE49-F238E27FC236}">
              <a16:creationId xmlns:a16="http://schemas.microsoft.com/office/drawing/2014/main" id="{C71AB9D2-5399-4BE6-92A8-DD209E53B32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523" name="AutoShape 3" descr="https://www.sreality.cz/img/icon-phone.svg">
          <a:extLst>
            <a:ext uri="{FF2B5EF4-FFF2-40B4-BE49-F238E27FC236}">
              <a16:creationId xmlns:a16="http://schemas.microsoft.com/office/drawing/2014/main" id="{0B7D7C0B-0A7F-49F7-85BE-5A9D8F30057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18</xdr:row>
      <xdr:rowOff>23446</xdr:rowOff>
    </xdr:from>
    <xdr:ext cx="304800" cy="282393"/>
    <xdr:sp macro="" textlink="">
      <xdr:nvSpPr>
        <xdr:cNvPr id="524" name="AutoShape 3" descr="https://www.sreality.cz/img/icon-phone.svg">
          <a:extLst>
            <a:ext uri="{FF2B5EF4-FFF2-40B4-BE49-F238E27FC236}">
              <a16:creationId xmlns:a16="http://schemas.microsoft.com/office/drawing/2014/main" id="{3626F4EF-FD23-4590-B24D-3CBCA8F5B90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19</xdr:row>
      <xdr:rowOff>23446</xdr:rowOff>
    </xdr:from>
    <xdr:ext cx="304800" cy="282393"/>
    <xdr:sp macro="" textlink="">
      <xdr:nvSpPr>
        <xdr:cNvPr id="525" name="AutoShape 3" descr="https://www.sreality.cz/img/icon-phone.svg">
          <a:extLst>
            <a:ext uri="{FF2B5EF4-FFF2-40B4-BE49-F238E27FC236}">
              <a16:creationId xmlns:a16="http://schemas.microsoft.com/office/drawing/2014/main" id="{F7C1F678-1C85-4D0C-807E-2F9AE4F716B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26" name="AutoShape 3" descr="https://www.sreality.cz/img/icon-phone.svg">
          <a:extLst>
            <a:ext uri="{FF2B5EF4-FFF2-40B4-BE49-F238E27FC236}">
              <a16:creationId xmlns:a16="http://schemas.microsoft.com/office/drawing/2014/main" id="{2A8C58A1-A826-4A0C-90D3-D3C94123EE5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27" name="AutoShape 3" descr="https://www.sreality.cz/img/icon-phone.svg">
          <a:extLst>
            <a:ext uri="{FF2B5EF4-FFF2-40B4-BE49-F238E27FC236}">
              <a16:creationId xmlns:a16="http://schemas.microsoft.com/office/drawing/2014/main" id="{519680FA-120A-4148-A967-E73352B45BC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28" name="AutoShape 3" descr="https://www.sreality.cz/img/icon-phone.svg">
          <a:extLst>
            <a:ext uri="{FF2B5EF4-FFF2-40B4-BE49-F238E27FC236}">
              <a16:creationId xmlns:a16="http://schemas.microsoft.com/office/drawing/2014/main" id="{8E0EDD79-5DA8-442D-8AC3-1938AF74DF2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29" name="AutoShape 3" descr="https://www.sreality.cz/img/icon-phone.svg">
          <a:extLst>
            <a:ext uri="{FF2B5EF4-FFF2-40B4-BE49-F238E27FC236}">
              <a16:creationId xmlns:a16="http://schemas.microsoft.com/office/drawing/2014/main" id="{166CE58B-8140-4097-9F15-7F07836A5E5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0" name="AutoShape 3" descr="https://www.sreality.cz/img/icon-phone.svg">
          <a:extLst>
            <a:ext uri="{FF2B5EF4-FFF2-40B4-BE49-F238E27FC236}">
              <a16:creationId xmlns:a16="http://schemas.microsoft.com/office/drawing/2014/main" id="{4126D550-AAA1-4175-ADE4-547BBD9741F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1" name="AutoShape 3" descr="https://www.sreality.cz/img/icon-phone.svg">
          <a:extLst>
            <a:ext uri="{FF2B5EF4-FFF2-40B4-BE49-F238E27FC236}">
              <a16:creationId xmlns:a16="http://schemas.microsoft.com/office/drawing/2014/main" id="{AC33C996-95FB-42A7-8400-CDA5E65A2623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2" name="AutoShape 3" descr="https://www.sreality.cz/img/icon-phone.svg">
          <a:extLst>
            <a:ext uri="{FF2B5EF4-FFF2-40B4-BE49-F238E27FC236}">
              <a16:creationId xmlns:a16="http://schemas.microsoft.com/office/drawing/2014/main" id="{D664BCC0-23ED-4205-8901-46CEA4B5FD7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3" name="AutoShape 3" descr="https://www.sreality.cz/img/icon-phone.svg">
          <a:extLst>
            <a:ext uri="{FF2B5EF4-FFF2-40B4-BE49-F238E27FC236}">
              <a16:creationId xmlns:a16="http://schemas.microsoft.com/office/drawing/2014/main" id="{0BC9A112-BF54-4B76-B159-2F9903E95F5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4" name="AutoShape 3" descr="https://www.sreality.cz/img/icon-phone.svg">
          <a:extLst>
            <a:ext uri="{FF2B5EF4-FFF2-40B4-BE49-F238E27FC236}">
              <a16:creationId xmlns:a16="http://schemas.microsoft.com/office/drawing/2014/main" id="{B8376F49-9422-4FAA-ADFD-3777F5ED8BF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5" name="AutoShape 3" descr="https://www.sreality.cz/img/icon-phone.svg">
          <a:extLst>
            <a:ext uri="{FF2B5EF4-FFF2-40B4-BE49-F238E27FC236}">
              <a16:creationId xmlns:a16="http://schemas.microsoft.com/office/drawing/2014/main" id="{7D5277CB-8C74-4EFA-9213-02B959FDBF7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6" name="AutoShape 3" descr="https://www.sreality.cz/img/icon-phone.svg">
          <a:extLst>
            <a:ext uri="{FF2B5EF4-FFF2-40B4-BE49-F238E27FC236}">
              <a16:creationId xmlns:a16="http://schemas.microsoft.com/office/drawing/2014/main" id="{75813773-9BED-48BD-B4B8-C3C856FC8EE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37" name="AutoShape 3" descr="https://www.sreality.cz/img/icon-phone.svg">
          <a:extLst>
            <a:ext uri="{FF2B5EF4-FFF2-40B4-BE49-F238E27FC236}">
              <a16:creationId xmlns:a16="http://schemas.microsoft.com/office/drawing/2014/main" id="{472CFDCC-D16C-4EDA-A8DF-709184DAE1C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4</xdr:row>
      <xdr:rowOff>23446</xdr:rowOff>
    </xdr:from>
    <xdr:ext cx="304800" cy="282393"/>
    <xdr:sp macro="" textlink="">
      <xdr:nvSpPr>
        <xdr:cNvPr id="538" name="AutoShape 3" descr="https://www.sreality.cz/img/icon-phone.svg">
          <a:extLst>
            <a:ext uri="{FF2B5EF4-FFF2-40B4-BE49-F238E27FC236}">
              <a16:creationId xmlns:a16="http://schemas.microsoft.com/office/drawing/2014/main" id="{BF32AA05-B8C1-488B-A6BC-B488A281277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5</xdr:row>
      <xdr:rowOff>23446</xdr:rowOff>
    </xdr:from>
    <xdr:ext cx="304800" cy="282393"/>
    <xdr:sp macro="" textlink="">
      <xdr:nvSpPr>
        <xdr:cNvPr id="539" name="AutoShape 3" descr="https://www.sreality.cz/img/icon-phone.svg">
          <a:extLst>
            <a:ext uri="{FF2B5EF4-FFF2-40B4-BE49-F238E27FC236}">
              <a16:creationId xmlns:a16="http://schemas.microsoft.com/office/drawing/2014/main" id="{41AF3BF2-86E1-4345-BE65-EFAE1FBE889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14</xdr:row>
      <xdr:rowOff>23446</xdr:rowOff>
    </xdr:from>
    <xdr:ext cx="304800" cy="282393"/>
    <xdr:sp macro="" textlink="">
      <xdr:nvSpPr>
        <xdr:cNvPr id="540" name="AutoShape 3" descr="https://www.sreality.cz/img/icon-phone.svg">
          <a:extLst>
            <a:ext uri="{FF2B5EF4-FFF2-40B4-BE49-F238E27FC236}">
              <a16:creationId xmlns:a16="http://schemas.microsoft.com/office/drawing/2014/main" id="{3F0ACDB9-364E-4B50-A225-EADB523D530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15</xdr:row>
      <xdr:rowOff>23446</xdr:rowOff>
    </xdr:from>
    <xdr:ext cx="304800" cy="282393"/>
    <xdr:sp macro="" textlink="">
      <xdr:nvSpPr>
        <xdr:cNvPr id="541" name="AutoShape 3" descr="https://www.sreality.cz/img/icon-phone.svg">
          <a:extLst>
            <a:ext uri="{FF2B5EF4-FFF2-40B4-BE49-F238E27FC236}">
              <a16:creationId xmlns:a16="http://schemas.microsoft.com/office/drawing/2014/main" id="{3AEF7FF9-75B4-4B83-BF2C-188D781D4AA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42" name="AutoShape 3" descr="https://www.sreality.cz/img/icon-phone.svg">
          <a:extLst>
            <a:ext uri="{FF2B5EF4-FFF2-40B4-BE49-F238E27FC236}">
              <a16:creationId xmlns:a16="http://schemas.microsoft.com/office/drawing/2014/main" id="{6A70253A-63B0-4005-AC95-69386AA83680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43" name="AutoShape 3" descr="https://www.sreality.cz/img/icon-phone.svg">
          <a:extLst>
            <a:ext uri="{FF2B5EF4-FFF2-40B4-BE49-F238E27FC236}">
              <a16:creationId xmlns:a16="http://schemas.microsoft.com/office/drawing/2014/main" id="{64FE9D86-3D7B-4C96-A53D-F8386035FB11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44" name="AutoShape 3" descr="https://www.sreality.cz/img/icon-phone.svg">
          <a:extLst>
            <a:ext uri="{FF2B5EF4-FFF2-40B4-BE49-F238E27FC236}">
              <a16:creationId xmlns:a16="http://schemas.microsoft.com/office/drawing/2014/main" id="{47B520D9-E410-4AFD-AC77-5452D41CDAED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0</xdr:row>
      <xdr:rowOff>23446</xdr:rowOff>
    </xdr:from>
    <xdr:ext cx="304800" cy="282393"/>
    <xdr:sp macro="" textlink="">
      <xdr:nvSpPr>
        <xdr:cNvPr id="545" name="AutoShape 3" descr="https://www.sreality.cz/img/icon-phone.svg">
          <a:extLst>
            <a:ext uri="{FF2B5EF4-FFF2-40B4-BE49-F238E27FC236}">
              <a16:creationId xmlns:a16="http://schemas.microsoft.com/office/drawing/2014/main" id="{4C9452F2-338E-42F8-A330-9386E43ABF8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546" name="AutoShape 3" descr="https://www.sreality.cz/img/icon-phone.svg">
          <a:extLst>
            <a:ext uri="{FF2B5EF4-FFF2-40B4-BE49-F238E27FC236}">
              <a16:creationId xmlns:a16="http://schemas.microsoft.com/office/drawing/2014/main" id="{B6484596-5F02-42A6-8473-DEF1E7BEB7C8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10</xdr:row>
      <xdr:rowOff>23446</xdr:rowOff>
    </xdr:from>
    <xdr:ext cx="304800" cy="282393"/>
    <xdr:sp macro="" textlink="">
      <xdr:nvSpPr>
        <xdr:cNvPr id="547" name="AutoShape 3" descr="https://www.sreality.cz/img/icon-phone.svg">
          <a:extLst>
            <a:ext uri="{FF2B5EF4-FFF2-40B4-BE49-F238E27FC236}">
              <a16:creationId xmlns:a16="http://schemas.microsoft.com/office/drawing/2014/main" id="{75B53329-51FB-432F-AABA-4AB8DBD7C282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19</xdr:row>
      <xdr:rowOff>23446</xdr:rowOff>
    </xdr:from>
    <xdr:ext cx="304800" cy="282393"/>
    <xdr:sp macro="" textlink="">
      <xdr:nvSpPr>
        <xdr:cNvPr id="548" name="AutoShape 3" descr="https://www.sreality.cz/img/icon-phone.svg">
          <a:extLst>
            <a:ext uri="{FF2B5EF4-FFF2-40B4-BE49-F238E27FC236}">
              <a16:creationId xmlns:a16="http://schemas.microsoft.com/office/drawing/2014/main" id="{8244F423-B272-4272-897C-98E88B49B1A7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20</xdr:row>
      <xdr:rowOff>23446</xdr:rowOff>
    </xdr:from>
    <xdr:ext cx="304800" cy="282393"/>
    <xdr:sp macro="" textlink="">
      <xdr:nvSpPr>
        <xdr:cNvPr id="549" name="AutoShape 3" descr="https://www.sreality.cz/img/icon-phone.svg">
          <a:extLst>
            <a:ext uri="{FF2B5EF4-FFF2-40B4-BE49-F238E27FC236}">
              <a16:creationId xmlns:a16="http://schemas.microsoft.com/office/drawing/2014/main" id="{553DB222-D735-4EF9-A3CD-7141CE147CC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23</xdr:row>
      <xdr:rowOff>23446</xdr:rowOff>
    </xdr:from>
    <xdr:ext cx="304800" cy="282393"/>
    <xdr:sp macro="" textlink="">
      <xdr:nvSpPr>
        <xdr:cNvPr id="550" name="AutoShape 3" descr="https://www.sreality.cz/img/icon-phone.svg">
          <a:extLst>
            <a:ext uri="{FF2B5EF4-FFF2-40B4-BE49-F238E27FC236}">
              <a16:creationId xmlns:a16="http://schemas.microsoft.com/office/drawing/2014/main" id="{4C56CDF1-DEF3-451B-A85B-4D41C977C50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9</xdr:row>
      <xdr:rowOff>23446</xdr:rowOff>
    </xdr:from>
    <xdr:ext cx="304800" cy="282393"/>
    <xdr:sp macro="" textlink="">
      <xdr:nvSpPr>
        <xdr:cNvPr id="551" name="AutoShape 3" descr="https://www.sreality.cz/img/icon-phone.svg">
          <a:extLst>
            <a:ext uri="{FF2B5EF4-FFF2-40B4-BE49-F238E27FC236}">
              <a16:creationId xmlns:a16="http://schemas.microsoft.com/office/drawing/2014/main" id="{CD00DAD8-401D-466C-8E92-5E78D41539D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10</xdr:row>
      <xdr:rowOff>23446</xdr:rowOff>
    </xdr:from>
    <xdr:ext cx="304800" cy="282393"/>
    <xdr:sp macro="" textlink="">
      <xdr:nvSpPr>
        <xdr:cNvPr id="552" name="AutoShape 3" descr="https://www.sreality.cz/img/icon-phone.svg">
          <a:extLst>
            <a:ext uri="{FF2B5EF4-FFF2-40B4-BE49-F238E27FC236}">
              <a16:creationId xmlns:a16="http://schemas.microsoft.com/office/drawing/2014/main" id="{13446AAB-F98D-4FF3-89A6-2836547B719E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19</xdr:row>
      <xdr:rowOff>23446</xdr:rowOff>
    </xdr:from>
    <xdr:ext cx="304800" cy="282393"/>
    <xdr:sp macro="" textlink="">
      <xdr:nvSpPr>
        <xdr:cNvPr id="553" name="AutoShape 3" descr="https://www.sreality.cz/img/icon-phone.svg">
          <a:extLst>
            <a:ext uri="{FF2B5EF4-FFF2-40B4-BE49-F238E27FC236}">
              <a16:creationId xmlns:a16="http://schemas.microsoft.com/office/drawing/2014/main" id="{3A018145-1617-40DB-88F8-0EFD5C60C0B4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20</xdr:row>
      <xdr:rowOff>23446</xdr:rowOff>
    </xdr:from>
    <xdr:ext cx="304800" cy="282393"/>
    <xdr:sp macro="" textlink="">
      <xdr:nvSpPr>
        <xdr:cNvPr id="554" name="AutoShape 3" descr="https://www.sreality.cz/img/icon-phone.svg">
          <a:extLst>
            <a:ext uri="{FF2B5EF4-FFF2-40B4-BE49-F238E27FC236}">
              <a16:creationId xmlns:a16="http://schemas.microsoft.com/office/drawing/2014/main" id="{82770AE4-D426-45E2-BFC6-5D2EA3C8C4CB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11</xdr:row>
      <xdr:rowOff>23446</xdr:rowOff>
    </xdr:from>
    <xdr:ext cx="304800" cy="282393"/>
    <xdr:sp macro="" textlink="">
      <xdr:nvSpPr>
        <xdr:cNvPr id="555" name="AutoShape 3" descr="https://www.sreality.cz/img/icon-phone.svg">
          <a:extLst>
            <a:ext uri="{FF2B5EF4-FFF2-40B4-BE49-F238E27FC236}">
              <a16:creationId xmlns:a16="http://schemas.microsoft.com/office/drawing/2014/main" id="{38C94F37-6514-4738-B440-CFC71AA4B965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12</xdr:row>
      <xdr:rowOff>23446</xdr:rowOff>
    </xdr:from>
    <xdr:ext cx="304800" cy="282393"/>
    <xdr:sp macro="" textlink="">
      <xdr:nvSpPr>
        <xdr:cNvPr id="556" name="AutoShape 3" descr="https://www.sreality.cz/img/icon-phone.svg">
          <a:extLst>
            <a:ext uri="{FF2B5EF4-FFF2-40B4-BE49-F238E27FC236}">
              <a16:creationId xmlns:a16="http://schemas.microsoft.com/office/drawing/2014/main" id="{A0CE8FE9-88DA-4BD6-8F4B-59146A77BC4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21</xdr:row>
      <xdr:rowOff>23446</xdr:rowOff>
    </xdr:from>
    <xdr:ext cx="304800" cy="282393"/>
    <xdr:sp macro="" textlink="">
      <xdr:nvSpPr>
        <xdr:cNvPr id="557" name="AutoShape 3" descr="https://www.sreality.cz/img/icon-phone.svg">
          <a:extLst>
            <a:ext uri="{FF2B5EF4-FFF2-40B4-BE49-F238E27FC236}">
              <a16:creationId xmlns:a16="http://schemas.microsoft.com/office/drawing/2014/main" id="{B4B513C3-5148-46AC-82BA-7232ED7D700A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175847</xdr:colOff>
      <xdr:row>22</xdr:row>
      <xdr:rowOff>23446</xdr:rowOff>
    </xdr:from>
    <xdr:ext cx="304800" cy="282393"/>
    <xdr:sp macro="" textlink="">
      <xdr:nvSpPr>
        <xdr:cNvPr id="558" name="AutoShape 3" descr="https://www.sreality.cz/img/icon-phone.svg">
          <a:extLst>
            <a:ext uri="{FF2B5EF4-FFF2-40B4-BE49-F238E27FC236}">
              <a16:creationId xmlns:a16="http://schemas.microsoft.com/office/drawing/2014/main" id="{2B5624F6-13C0-4E56-AB81-BF4BD6F1AF86}"/>
            </a:ext>
          </a:extLst>
        </xdr:cNvPr>
        <xdr:cNvSpPr>
          <a:spLocks noChangeAspect="1" noChangeArrowheads="1"/>
        </xdr:cNvSpPr>
      </xdr:nvSpPr>
      <xdr:spPr bwMode="auto">
        <a:xfrm>
          <a:off x="7025640" y="21320760"/>
          <a:ext cx="304800" cy="28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2"/>
  <sheetViews>
    <sheetView workbookViewId="0">
      <selection activeCell="B27" sqref="B27"/>
    </sheetView>
  </sheetViews>
  <sheetFormatPr defaultColWidth="9.109375" defaultRowHeight="15.6" x14ac:dyDescent="0.3"/>
  <cols>
    <col min="1" max="1" width="44.109375" style="1" customWidth="1"/>
    <col min="2" max="2" width="16.6640625" style="1" bestFit="1" customWidth="1"/>
    <col min="3" max="3" width="5.6640625" style="27" customWidth="1"/>
    <col min="4" max="4" width="9.6640625" style="1" customWidth="1"/>
    <col min="5" max="5" width="42.44140625" style="1" customWidth="1"/>
    <col min="6" max="6" width="20.5546875" style="1" bestFit="1" customWidth="1"/>
    <col min="7" max="7" width="20.5546875" style="1" customWidth="1"/>
    <col min="8" max="8" width="22" style="1" customWidth="1"/>
    <col min="9" max="9" width="3.109375" style="1" customWidth="1"/>
    <col min="10" max="10" width="23.33203125" style="1" bestFit="1" customWidth="1"/>
    <col min="11" max="12" width="9.109375" style="1"/>
    <col min="13" max="13" width="17.33203125" style="1" bestFit="1" customWidth="1"/>
    <col min="14" max="14" width="21.33203125" style="1" customWidth="1"/>
    <col min="15" max="16384" width="9.109375" style="1"/>
  </cols>
  <sheetData>
    <row r="1" spans="1:14" ht="17.399999999999999" x14ac:dyDescent="0.3">
      <c r="A1" s="8" t="s">
        <v>892</v>
      </c>
      <c r="B1" s="27"/>
    </row>
    <row r="2" spans="1:14" x14ac:dyDescent="0.3">
      <c r="I2" s="27"/>
      <c r="J2" s="27"/>
    </row>
    <row r="3" spans="1:14" x14ac:dyDescent="0.3">
      <c r="E3" s="1049" t="s">
        <v>893</v>
      </c>
      <c r="F3" s="1049"/>
      <c r="G3" s="1049"/>
      <c r="H3" s="1049"/>
      <c r="I3" s="1049"/>
      <c r="J3" s="1049"/>
    </row>
    <row r="4" spans="1:14" ht="31.2" x14ac:dyDescent="0.3">
      <c r="A4" s="374" t="s">
        <v>203</v>
      </c>
      <c r="B4" s="189" t="s">
        <v>104</v>
      </c>
      <c r="E4" s="191" t="s">
        <v>157</v>
      </c>
      <c r="F4" s="249" t="s">
        <v>92</v>
      </c>
      <c r="G4" s="675" t="s">
        <v>434</v>
      </c>
      <c r="H4" s="12" t="s">
        <v>162</v>
      </c>
      <c r="J4" s="658">
        <v>2023</v>
      </c>
    </row>
    <row r="5" spans="1:14" x14ac:dyDescent="0.3">
      <c r="A5" s="194" t="s">
        <v>16</v>
      </c>
      <c r="B5" s="251">
        <f t="shared" ref="B5:B11" si="0">H5</f>
        <v>40511813.499839805</v>
      </c>
      <c r="E5" s="835" t="s">
        <v>16</v>
      </c>
      <c r="F5" s="836">
        <v>40511.813499839802</v>
      </c>
      <c r="G5" s="739"/>
      <c r="H5" s="193">
        <f>F5*1000-G5</f>
        <v>40511813.499839805</v>
      </c>
      <c r="I5" s="27"/>
      <c r="J5" s="659">
        <v>43779533.886154994</v>
      </c>
    </row>
    <row r="6" spans="1:14" x14ac:dyDescent="0.3">
      <c r="A6" s="194" t="s">
        <v>457</v>
      </c>
      <c r="B6" s="757">
        <f>H6</f>
        <v>0</v>
      </c>
      <c r="E6" s="837" t="s">
        <v>457</v>
      </c>
      <c r="F6" s="838">
        <v>0</v>
      </c>
      <c r="G6" s="739"/>
      <c r="H6" s="756">
        <f>F6*1000-G6</f>
        <v>0</v>
      </c>
      <c r="I6" s="27"/>
      <c r="J6" s="659">
        <v>0</v>
      </c>
      <c r="K6" s="42"/>
      <c r="L6" s="42"/>
      <c r="M6" s="42"/>
      <c r="N6" s="42"/>
    </row>
    <row r="7" spans="1:14" x14ac:dyDescent="0.3">
      <c r="A7" s="194" t="s">
        <v>510</v>
      </c>
      <c r="B7" s="251">
        <f>H7</f>
        <v>0</v>
      </c>
      <c r="E7" s="837" t="s">
        <v>510</v>
      </c>
      <c r="F7" s="832">
        <v>0</v>
      </c>
      <c r="G7" s="739"/>
      <c r="H7" s="193">
        <f>F7*1000-G7</f>
        <v>0</v>
      </c>
      <c r="I7" s="27"/>
      <c r="J7" s="659">
        <v>0</v>
      </c>
      <c r="K7" s="42"/>
      <c r="L7" s="42"/>
      <c r="M7" s="42"/>
      <c r="N7" s="42"/>
    </row>
    <row r="8" spans="1:14" x14ac:dyDescent="0.3">
      <c r="A8" s="194" t="s">
        <v>456</v>
      </c>
      <c r="B8" s="757">
        <f t="shared" si="0"/>
        <v>-57272.727272727301</v>
      </c>
      <c r="E8" s="837" t="s">
        <v>456</v>
      </c>
      <c r="F8" s="838">
        <v>-57.272727272727302</v>
      </c>
      <c r="G8" s="739"/>
      <c r="H8" s="756">
        <f>F8*1000-G8</f>
        <v>-57272.727272727301</v>
      </c>
      <c r="I8" s="27"/>
      <c r="J8" s="659">
        <v>-44758.909853249475</v>
      </c>
      <c r="K8" s="42"/>
      <c r="L8" s="42"/>
      <c r="M8" s="42"/>
      <c r="N8" s="42"/>
    </row>
    <row r="9" spans="1:14" x14ac:dyDescent="0.3">
      <c r="A9" s="194" t="s">
        <v>139</v>
      </c>
      <c r="B9" s="251">
        <f t="shared" si="0"/>
        <v>3839784.4506854797</v>
      </c>
      <c r="E9" s="837" t="s">
        <v>158</v>
      </c>
      <c r="F9" s="832">
        <v>3839.7844506854799</v>
      </c>
      <c r="G9" s="734"/>
      <c r="H9" s="193">
        <f>F9*1000</f>
        <v>3839784.4506854797</v>
      </c>
      <c r="I9" s="27"/>
      <c r="J9" s="659">
        <v>4943481.0598301599</v>
      </c>
      <c r="K9" s="42"/>
      <c r="L9" s="42"/>
      <c r="M9" s="42"/>
      <c r="N9" s="42"/>
    </row>
    <row r="10" spans="1:14" x14ac:dyDescent="0.3">
      <c r="A10" s="12" t="s">
        <v>140</v>
      </c>
      <c r="B10" s="757">
        <f t="shared" si="0"/>
        <v>-9016180.7545327395</v>
      </c>
      <c r="E10" s="837" t="s">
        <v>159</v>
      </c>
      <c r="F10" s="838">
        <v>-9016.1807545327392</v>
      </c>
      <c r="G10" s="734"/>
      <c r="H10" s="756">
        <f t="shared" ref="H10" si="1">F10*1000</f>
        <v>-9016180.7545327395</v>
      </c>
      <c r="I10" s="27"/>
      <c r="J10" s="659">
        <v>-10225559.8805329</v>
      </c>
      <c r="K10" s="42"/>
      <c r="L10" s="42"/>
      <c r="M10" s="42"/>
      <c r="N10" s="42"/>
    </row>
    <row r="11" spans="1:14" ht="16.2" thickBot="1" x14ac:dyDescent="0.35">
      <c r="A11" s="190" t="s">
        <v>101</v>
      </c>
      <c r="B11" s="251">
        <f t="shared" si="0"/>
        <v>11891885.73473</v>
      </c>
      <c r="E11" s="837" t="s">
        <v>101</v>
      </c>
      <c r="F11" s="832">
        <v>11891.88573473</v>
      </c>
      <c r="G11" s="740">
        <v>0</v>
      </c>
      <c r="H11" s="740">
        <f t="shared" ref="H11:H12" si="2">F11*1000-G11</f>
        <v>11891885.73473</v>
      </c>
      <c r="I11" s="27"/>
      <c r="J11" s="659">
        <v>10334000.758261226</v>
      </c>
      <c r="K11" s="42"/>
      <c r="L11" s="42"/>
      <c r="M11" s="42"/>
      <c r="N11" s="42"/>
    </row>
    <row r="12" spans="1:14" ht="16.2" thickBot="1" x14ac:dyDescent="0.35">
      <c r="A12" s="190" t="s">
        <v>120</v>
      </c>
      <c r="B12" s="167">
        <f>SUM(B5:B11)</f>
        <v>47170030.203449816</v>
      </c>
      <c r="E12" s="837" t="s">
        <v>330</v>
      </c>
      <c r="F12" s="828">
        <v>7080.4715665738904</v>
      </c>
      <c r="G12" s="740">
        <v>0</v>
      </c>
      <c r="H12" s="740">
        <f t="shared" si="2"/>
        <v>7080471.5665738909</v>
      </c>
      <c r="I12" s="27"/>
      <c r="J12" s="659">
        <v>13435926.99</v>
      </c>
      <c r="K12" s="42"/>
      <c r="L12" s="42"/>
      <c r="M12" s="42"/>
      <c r="N12" s="42"/>
    </row>
    <row r="13" spans="1:14" x14ac:dyDescent="0.3">
      <c r="A13" s="190"/>
      <c r="B13" s="104"/>
      <c r="E13" s="837" t="s">
        <v>334</v>
      </c>
      <c r="F13" s="828">
        <v>14251.8491837118</v>
      </c>
      <c r="G13" s="740">
        <v>0</v>
      </c>
      <c r="H13" s="740">
        <f>F13*1000-G13</f>
        <v>14251849.183711801</v>
      </c>
      <c r="I13" s="27"/>
      <c r="J13" s="659">
        <v>10990670.7177586</v>
      </c>
      <c r="K13" s="42"/>
      <c r="L13" s="42"/>
      <c r="M13" s="42"/>
      <c r="N13" s="362"/>
    </row>
    <row r="14" spans="1:14" x14ac:dyDescent="0.3">
      <c r="A14" s="109"/>
      <c r="B14" s="104"/>
      <c r="E14" s="839" t="s">
        <v>160</v>
      </c>
      <c r="F14" s="830">
        <v>4406.9595967076702</v>
      </c>
      <c r="G14" s="740">
        <v>0</v>
      </c>
      <c r="H14" s="740">
        <f>F14*1000-G14</f>
        <v>4406959.59670767</v>
      </c>
      <c r="I14" s="27"/>
      <c r="J14" s="659">
        <v>4959130.7410706207</v>
      </c>
      <c r="K14" s="361"/>
      <c r="L14" s="42"/>
      <c r="M14" s="42"/>
      <c r="N14" s="362"/>
    </row>
    <row r="15" spans="1:14" ht="16.2" thickBot="1" x14ac:dyDescent="0.35">
      <c r="A15" s="42"/>
      <c r="B15" s="104"/>
      <c r="E15" s="192" t="s">
        <v>7</v>
      </c>
      <c r="F15" s="834">
        <f>SUM(F5:F14)</f>
        <v>72909.310550443188</v>
      </c>
      <c r="G15" s="736"/>
      <c r="H15" s="250">
        <f>F15*1000</f>
        <v>72909310.550443187</v>
      </c>
      <c r="I15" s="27"/>
      <c r="J15" s="660">
        <v>78172425.362689465</v>
      </c>
      <c r="K15" s="361"/>
      <c r="L15" s="42"/>
      <c r="M15" s="42"/>
      <c r="N15" s="363"/>
    </row>
    <row r="16" spans="1:14" ht="21" thickBot="1" x14ac:dyDescent="0.4">
      <c r="A16" s="291" t="s">
        <v>151</v>
      </c>
      <c r="C16" s="84"/>
      <c r="E16" s="15" t="s">
        <v>206</v>
      </c>
      <c r="F16" s="286"/>
      <c r="G16" s="286"/>
      <c r="H16" s="193"/>
      <c r="I16" s="27"/>
      <c r="J16" s="661">
        <f>H15-J15</f>
        <v>-5263114.8122462779</v>
      </c>
      <c r="K16" s="42"/>
      <c r="L16" s="42"/>
      <c r="M16" s="42"/>
      <c r="N16" s="42"/>
    </row>
    <row r="17" spans="1:12" ht="16.2" thickBot="1" x14ac:dyDescent="0.35">
      <c r="A17" s="196" t="s">
        <v>884</v>
      </c>
      <c r="B17" s="277">
        <f>B12</f>
        <v>47170030.203449816</v>
      </c>
      <c r="C17" s="120"/>
      <c r="E17" s="831">
        <f>SUM(F5:F11)</f>
        <v>47170.030203449816</v>
      </c>
      <c r="G17" s="27"/>
      <c r="I17" s="27"/>
      <c r="J17" s="596"/>
      <c r="K17" s="42"/>
      <c r="L17" s="42"/>
    </row>
    <row r="18" spans="1:12" ht="16.2" thickBot="1" x14ac:dyDescent="0.35">
      <c r="A18" s="121" t="s">
        <v>887</v>
      </c>
      <c r="B18" s="167">
        <v>150000</v>
      </c>
      <c r="C18" s="120"/>
      <c r="E18" s="824" t="s">
        <v>157</v>
      </c>
      <c r="F18" s="825" t="s">
        <v>92</v>
      </c>
      <c r="G18" s="733"/>
      <c r="H18" s="193"/>
      <c r="I18" s="27"/>
      <c r="J18" s="658">
        <v>2023</v>
      </c>
    </row>
    <row r="19" spans="1:12" ht="16.2" thickBot="1" x14ac:dyDescent="0.35">
      <c r="A19" s="196" t="s">
        <v>885</v>
      </c>
      <c r="B19" s="197">
        <f>B17-B18</f>
        <v>47020030.203449816</v>
      </c>
      <c r="D19" s="27"/>
      <c r="E19" s="826" t="s">
        <v>152</v>
      </c>
      <c r="F19" s="832">
        <v>22264.176136511178</v>
      </c>
      <c r="G19" s="734"/>
      <c r="H19" s="193">
        <f>F19*1000</f>
        <v>22264176.136511177</v>
      </c>
      <c r="I19" s="27"/>
      <c r="J19" s="662">
        <v>22264176.136511177</v>
      </c>
    </row>
    <row r="20" spans="1:12" ht="16.2" thickBot="1" x14ac:dyDescent="0.35">
      <c r="A20" s="196" t="s">
        <v>137</v>
      </c>
      <c r="B20" s="198">
        <f>H12+H13</f>
        <v>21332320.750285693</v>
      </c>
      <c r="C20" s="120"/>
      <c r="D20" s="27"/>
      <c r="E20" s="826" t="s">
        <v>886</v>
      </c>
      <c r="F20" s="832">
        <v>-124.15407402331</v>
      </c>
      <c r="G20" s="789"/>
      <c r="H20" s="193">
        <f>F20*1000</f>
        <v>-124154.07402331001</v>
      </c>
      <c r="I20" s="27"/>
      <c r="J20" s="662">
        <v>429970.57164638682</v>
      </c>
    </row>
    <row r="21" spans="1:12" ht="16.2" thickBot="1" x14ac:dyDescent="0.35">
      <c r="A21" s="196" t="s">
        <v>138</v>
      </c>
      <c r="B21" s="167">
        <f>H14</f>
        <v>4406959.59670767</v>
      </c>
      <c r="C21" s="120"/>
      <c r="E21" s="826" t="s">
        <v>525</v>
      </c>
      <c r="F21" s="828">
        <f>SUM(F19:F20)</f>
        <v>22140.022062487868</v>
      </c>
      <c r="G21" s="735"/>
      <c r="H21" s="193">
        <f>F21*1000</f>
        <v>22140022.062487867</v>
      </c>
      <c r="I21" s="27"/>
      <c r="J21" s="662">
        <v>22694146.708157565</v>
      </c>
    </row>
    <row r="22" spans="1:12" ht="16.2" thickBot="1" x14ac:dyDescent="0.35">
      <c r="A22" s="196" t="s">
        <v>528</v>
      </c>
      <c r="B22" s="199">
        <f>SUM(B19:B20)</f>
        <v>68352350.953735501</v>
      </c>
      <c r="C22" s="120"/>
      <c r="D22" s="219"/>
      <c r="E22" s="829" t="s">
        <v>527</v>
      </c>
      <c r="F22" s="833">
        <v>25</v>
      </c>
      <c r="G22" s="286"/>
      <c r="H22" s="193">
        <f>F22*1000</f>
        <v>25000</v>
      </c>
      <c r="I22" s="27"/>
      <c r="J22" s="662">
        <v>25000</v>
      </c>
    </row>
    <row r="23" spans="1:12" ht="16.2" thickBot="1" x14ac:dyDescent="0.35">
      <c r="A23" s="278" t="s">
        <v>118</v>
      </c>
      <c r="B23" s="279">
        <f>-H21-H22</f>
        <v>-22165022.062487867</v>
      </c>
      <c r="C23" s="120"/>
      <c r="D23" s="219"/>
      <c r="E23" s="824" t="s">
        <v>157</v>
      </c>
      <c r="F23" s="825" t="s">
        <v>92</v>
      </c>
      <c r="G23" s="733"/>
      <c r="H23" s="193"/>
      <c r="I23" s="27"/>
      <c r="J23" s="662"/>
    </row>
    <row r="24" spans="1:12" ht="31.8" thickBot="1" x14ac:dyDescent="0.35">
      <c r="A24" s="373" t="s">
        <v>197</v>
      </c>
      <c r="B24" s="279">
        <f>-H26</f>
        <v>-476505.6791008719</v>
      </c>
      <c r="C24" s="120"/>
      <c r="E24" s="826" t="s">
        <v>161</v>
      </c>
      <c r="F24" s="827">
        <v>3332471</v>
      </c>
      <c r="G24" s="737"/>
      <c r="H24" s="195"/>
      <c r="I24" s="27"/>
      <c r="J24" s="662"/>
    </row>
    <row r="25" spans="1:12" ht="18" thickBot="1" x14ac:dyDescent="0.35">
      <c r="A25" s="196" t="s">
        <v>894</v>
      </c>
      <c r="B25" s="214">
        <f>SUM(B22:B24)</f>
        <v>45710823.212146759</v>
      </c>
      <c r="C25" s="120"/>
      <c r="D25" s="365"/>
      <c r="E25" s="826" t="s">
        <v>204</v>
      </c>
      <c r="F25" s="828">
        <v>3861.6999999999975</v>
      </c>
      <c r="G25" s="738"/>
      <c r="H25" s="248">
        <f>F25</f>
        <v>3861.6999999999975</v>
      </c>
      <c r="I25" s="27"/>
      <c r="J25" s="662">
        <v>4067.36</v>
      </c>
    </row>
    <row r="26" spans="1:12" x14ac:dyDescent="0.3">
      <c r="B26" s="634">
        <f>B25-ROZPOČET!G13</f>
        <v>0.14841125160455704</v>
      </c>
      <c r="D26" s="27"/>
      <c r="E26" s="829" t="s">
        <v>205</v>
      </c>
      <c r="F26" s="830">
        <v>476.50567910087187</v>
      </c>
      <c r="G26" s="738"/>
      <c r="H26" s="193">
        <f>F26*1000</f>
        <v>476505.6791008719</v>
      </c>
      <c r="I26" s="27"/>
      <c r="J26" s="662">
        <v>517984.386390517</v>
      </c>
    </row>
    <row r="27" spans="1:12" x14ac:dyDescent="0.3">
      <c r="A27" s="196"/>
      <c r="B27" s="14"/>
    </row>
    <row r="28" spans="1:12" x14ac:dyDescent="0.3">
      <c r="B28" s="14"/>
      <c r="F28" s="820">
        <f>F5+F6+F7+F8+F9+F10+F11+F12+F13-F19-F20</f>
        <v>46362.328891247649</v>
      </c>
      <c r="H28" s="820">
        <f>H5+H6+H7+H8+H9+H10+H11+H12+H13-H19-H20</f>
        <v>46362328.89124763</v>
      </c>
      <c r="I28" s="820"/>
      <c r="J28" s="820">
        <f>J5+J6+J7+J8+J9+J10+J11+J12+J13-J19-J20</f>
        <v>50519147.913461275</v>
      </c>
    </row>
    <row r="31" spans="1:12" x14ac:dyDescent="0.3">
      <c r="B31" s="14"/>
      <c r="E31" s="960"/>
    </row>
    <row r="32" spans="1:12" x14ac:dyDescent="0.3">
      <c r="E32" s="962"/>
    </row>
  </sheetData>
  <mergeCells count="1">
    <mergeCell ref="E3:J3"/>
  </mergeCells>
  <printOptions horizontalCentered="1" gridLines="1"/>
  <pageMargins left="0" right="0" top="1.1811023622047245" bottom="0" header="0.70866141732283472" footer="0"/>
  <pageSetup paperSize="9" orientation="landscape" r:id="rId1"/>
  <headerFooter>
    <oddHeader>&amp;R&amp;Z&amp;F
List: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N42"/>
  <sheetViews>
    <sheetView workbookViewId="0">
      <selection activeCell="C3" sqref="C3"/>
    </sheetView>
  </sheetViews>
  <sheetFormatPr defaultColWidth="9.109375" defaultRowHeight="15.6" x14ac:dyDescent="0.3"/>
  <cols>
    <col min="1" max="1" width="16" style="2" customWidth="1"/>
    <col min="2" max="2" width="24.109375" style="3" customWidth="1"/>
    <col min="3" max="3" width="12.88671875" style="3" customWidth="1"/>
    <col min="4" max="4" width="13.109375" style="3" customWidth="1"/>
    <col min="5" max="5" width="16.5546875" style="3" customWidth="1"/>
    <col min="6" max="6" width="16.5546875" style="5" customWidth="1"/>
    <col min="7" max="8" width="16.5546875" style="1" customWidth="1"/>
    <col min="9" max="9" width="11" style="1" customWidth="1"/>
    <col min="10" max="10" width="13.6640625" style="1" customWidth="1"/>
    <col min="11" max="11" width="11" style="1" customWidth="1"/>
    <col min="12" max="12" width="10.109375" style="1" bestFit="1" customWidth="1"/>
    <col min="13" max="13" width="10.6640625" style="1" customWidth="1"/>
    <col min="14" max="16384" width="9.109375" style="1"/>
  </cols>
  <sheetData>
    <row r="1" spans="1:14" ht="24" customHeight="1" x14ac:dyDescent="0.3">
      <c r="A1" s="8" t="s">
        <v>895</v>
      </c>
    </row>
    <row r="2" spans="1:14" ht="16.8" x14ac:dyDescent="0.3">
      <c r="A2" s="49"/>
    </row>
    <row r="3" spans="1:14" ht="16.8" x14ac:dyDescent="0.3">
      <c r="A3" s="49"/>
      <c r="B3" s="15" t="s">
        <v>349</v>
      </c>
      <c r="C3" s="665">
        <f>'10_Celkem_106'!D7</f>
        <v>45859843.571296796</v>
      </c>
    </row>
    <row r="4" spans="1:14" x14ac:dyDescent="0.3">
      <c r="A4" s="1"/>
    </row>
    <row r="5" spans="1:14" s="2" customFormat="1" ht="46.8" x14ac:dyDescent="0.3">
      <c r="B5" s="10" t="s">
        <v>196</v>
      </c>
      <c r="C5" s="10" t="s">
        <v>93</v>
      </c>
      <c r="D5" s="10" t="s">
        <v>8</v>
      </c>
      <c r="E5" s="4" t="s">
        <v>6</v>
      </c>
      <c r="F5" s="6" t="s">
        <v>5</v>
      </c>
      <c r="G5" s="12" t="s">
        <v>94</v>
      </c>
      <c r="J5" s="173"/>
      <c r="M5" s="658"/>
      <c r="N5" s="19"/>
    </row>
    <row r="6" spans="1:14" x14ac:dyDescent="0.3">
      <c r="A6" s="2" t="s">
        <v>30</v>
      </c>
      <c r="B6" s="143">
        <f>B31</f>
        <v>361.66666666666669</v>
      </c>
      <c r="C6" s="26">
        <v>0.8</v>
      </c>
      <c r="D6" s="174">
        <f>B6*C6</f>
        <v>289.33333333333337</v>
      </c>
      <c r="E6" s="186">
        <f>D6/$D$9</f>
        <v>0.51224550014753623</v>
      </c>
      <c r="F6" s="585">
        <f>$C$3*E6</f>
        <v>23491498.506866701</v>
      </c>
      <c r="G6" s="12"/>
      <c r="H6" s="566">
        <f>F6/$F$9</f>
        <v>0.51224550014753623</v>
      </c>
      <c r="I6" s="566"/>
      <c r="M6" s="773"/>
      <c r="N6" s="774"/>
    </row>
    <row r="7" spans="1:14" x14ac:dyDescent="0.3">
      <c r="A7" s="2" t="s">
        <v>84</v>
      </c>
      <c r="B7" s="143">
        <f>B32</f>
        <v>136.66666666666666</v>
      </c>
      <c r="C7" s="26">
        <v>1.2</v>
      </c>
      <c r="D7" s="174">
        <f>B7*C7</f>
        <v>163.99999999999997</v>
      </c>
      <c r="E7" s="186">
        <f>D7/$D$9</f>
        <v>0.29035113602832685</v>
      </c>
      <c r="F7" s="585">
        <f>$C$3*E7</f>
        <v>13315457.679007387</v>
      </c>
      <c r="G7" s="585">
        <f>SUM(F6:F7)</f>
        <v>36806956.18587409</v>
      </c>
      <c r="H7" s="566">
        <f>F7/$F$9</f>
        <v>0.29035113602832685</v>
      </c>
      <c r="I7" s="566">
        <f>G7/$F$9</f>
        <v>0.80259663617586308</v>
      </c>
      <c r="M7" s="773"/>
      <c r="N7" s="774"/>
    </row>
    <row r="8" spans="1:14" ht="16.2" thickBot="1" x14ac:dyDescent="0.35">
      <c r="A8" s="2" t="s">
        <v>37</v>
      </c>
      <c r="B8" s="143">
        <f>B33</f>
        <v>74.333333333333329</v>
      </c>
      <c r="C8" s="26">
        <v>1.5</v>
      </c>
      <c r="D8" s="174">
        <f>B8*C8</f>
        <v>111.5</v>
      </c>
      <c r="E8" s="186">
        <f>D8/$D$9</f>
        <v>0.1974033638241369</v>
      </c>
      <c r="F8" s="175">
        <f>$C$3*E8</f>
        <v>9052887.3854227066</v>
      </c>
      <c r="H8" s="566">
        <f>F8/$F$9</f>
        <v>0.1974033638241369</v>
      </c>
      <c r="I8" s="566">
        <f>F8/$F$9</f>
        <v>0.1974033638241369</v>
      </c>
      <c r="M8" s="773"/>
      <c r="N8" s="774"/>
    </row>
    <row r="9" spans="1:14" s="9" customFormat="1" ht="18.600000000000001" thickBot="1" x14ac:dyDescent="0.4">
      <c r="A9" s="8"/>
      <c r="B9" s="176">
        <f>SUM(B6:B8)</f>
        <v>572.66666666666674</v>
      </c>
      <c r="C9" s="11"/>
      <c r="D9" s="177">
        <f>SUM(D6:D8)</f>
        <v>564.83333333333337</v>
      </c>
      <c r="E9" s="999">
        <f>SUM(E6:E8)</f>
        <v>1</v>
      </c>
      <c r="F9" s="178">
        <f>SUM(F6:F8)</f>
        <v>45859843.571296796</v>
      </c>
      <c r="H9" s="998">
        <f>SUM(H6:H8)</f>
        <v>1</v>
      </c>
      <c r="I9" s="998">
        <f>SUM(I7:I8)</f>
        <v>1</v>
      </c>
      <c r="M9" s="773"/>
      <c r="N9" s="78"/>
    </row>
    <row r="10" spans="1:14" x14ac:dyDescent="0.3">
      <c r="B10" s="18"/>
      <c r="C10" s="614"/>
      <c r="F10" s="666">
        <f>F9-C3</f>
        <v>0</v>
      </c>
      <c r="M10" s="27"/>
      <c r="N10" s="27"/>
    </row>
    <row r="11" spans="1:14" hidden="1" x14ac:dyDescent="0.3">
      <c r="M11" s="27"/>
      <c r="N11" s="27"/>
    </row>
    <row r="12" spans="1:14" hidden="1" x14ac:dyDescent="0.3">
      <c r="B12" s="179"/>
      <c r="F12" s="180" t="e">
        <f>'10_Celkem_106'!#REF!</f>
        <v>#REF!</v>
      </c>
      <c r="M12" s="27"/>
      <c r="N12" s="27"/>
    </row>
    <row r="13" spans="1:14" hidden="1" x14ac:dyDescent="0.3">
      <c r="B13" s="18"/>
      <c r="E13" s="12"/>
      <c r="F13" s="181"/>
      <c r="M13" s="27"/>
      <c r="N13" s="27"/>
    </row>
    <row r="14" spans="1:14" hidden="1" x14ac:dyDescent="0.3">
      <c r="F14" s="5" t="e">
        <f>SUM(F12:F13)</f>
        <v>#REF!</v>
      </c>
      <c r="M14" s="27"/>
      <c r="N14" s="27"/>
    </row>
    <row r="15" spans="1:14" hidden="1" x14ac:dyDescent="0.3">
      <c r="E15" s="12" t="s">
        <v>12</v>
      </c>
      <c r="F15" s="182">
        <v>0</v>
      </c>
      <c r="M15" s="27"/>
      <c r="N15" s="27"/>
    </row>
    <row r="16" spans="1:14" hidden="1" x14ac:dyDescent="0.3">
      <c r="F16" s="183" t="e">
        <f>SUM(F14:F15)</f>
        <v>#REF!</v>
      </c>
      <c r="M16" s="27"/>
      <c r="N16" s="27"/>
    </row>
    <row r="17" spans="1:14" hidden="1" x14ac:dyDescent="0.3">
      <c r="M17" s="27"/>
      <c r="N17" s="27"/>
    </row>
    <row r="18" spans="1:14" hidden="1" x14ac:dyDescent="0.3">
      <c r="E18" s="3" t="s">
        <v>26</v>
      </c>
      <c r="F18" s="184">
        <v>0</v>
      </c>
      <c r="M18" s="27"/>
      <c r="N18" s="27"/>
    </row>
    <row r="19" spans="1:14" hidden="1" x14ac:dyDescent="0.3">
      <c r="B19" s="179"/>
      <c r="E19" s="3" t="s">
        <v>27</v>
      </c>
      <c r="F19" s="13">
        <f>-F15</f>
        <v>0</v>
      </c>
      <c r="M19" s="27"/>
      <c r="N19" s="27"/>
    </row>
    <row r="20" spans="1:14" hidden="1" x14ac:dyDescent="0.3">
      <c r="E20" s="3" t="s">
        <v>12</v>
      </c>
      <c r="F20" s="6">
        <f>SUM(F18:F19)</f>
        <v>0</v>
      </c>
      <c r="M20" s="27"/>
      <c r="N20" s="27"/>
    </row>
    <row r="21" spans="1:14" hidden="1" x14ac:dyDescent="0.3">
      <c r="M21" s="27"/>
      <c r="N21" s="27"/>
    </row>
    <row r="22" spans="1:14" hidden="1" x14ac:dyDescent="0.3">
      <c r="M22" s="27"/>
      <c r="N22" s="27"/>
    </row>
    <row r="23" spans="1:14" x14ac:dyDescent="0.3">
      <c r="A23" s="1" t="s">
        <v>55</v>
      </c>
      <c r="M23" s="27"/>
      <c r="N23" s="27"/>
    </row>
    <row r="24" spans="1:14" x14ac:dyDescent="0.3">
      <c r="A24" s="1" t="s">
        <v>56</v>
      </c>
      <c r="E24" s="40"/>
      <c r="F24" s="40"/>
    </row>
    <row r="25" spans="1:14" x14ac:dyDescent="0.3">
      <c r="A25" s="1" t="s">
        <v>57</v>
      </c>
      <c r="E25" s="40"/>
      <c r="F25" s="40"/>
    </row>
    <row r="26" spans="1:14" x14ac:dyDescent="0.3">
      <c r="A26" s="1"/>
      <c r="E26" s="40"/>
      <c r="F26" s="40"/>
    </row>
    <row r="27" spans="1:14" x14ac:dyDescent="0.3">
      <c r="A27" s="1051" t="s">
        <v>315</v>
      </c>
      <c r="B27" s="1052"/>
      <c r="C27" s="1052"/>
      <c r="D27" s="565" t="s">
        <v>316</v>
      </c>
      <c r="E27" s="550"/>
      <c r="F27" s="551"/>
      <c r="G27" s="551"/>
      <c r="H27" s="552"/>
      <c r="J27" s="27"/>
      <c r="K27" s="27"/>
      <c r="L27" s="27"/>
    </row>
    <row r="28" spans="1:14" x14ac:dyDescent="0.3">
      <c r="A28" s="553"/>
      <c r="B28" s="53"/>
      <c r="C28" s="53"/>
      <c r="D28" s="898" t="s">
        <v>900</v>
      </c>
      <c r="E28" s="898" t="s">
        <v>803</v>
      </c>
      <c r="F28" s="743" t="s">
        <v>467</v>
      </c>
      <c r="G28" s="743" t="s">
        <v>436</v>
      </c>
      <c r="H28" s="554"/>
    </row>
    <row r="29" spans="1:14" x14ac:dyDescent="0.3">
      <c r="A29" s="553"/>
      <c r="B29" s="53"/>
      <c r="C29" s="53"/>
      <c r="D29" s="899">
        <v>45230</v>
      </c>
      <c r="E29" s="899">
        <v>44865</v>
      </c>
      <c r="F29" s="744">
        <v>44500</v>
      </c>
      <c r="G29" s="744">
        <v>44135</v>
      </c>
      <c r="H29" s="554"/>
    </row>
    <row r="30" spans="1:14" x14ac:dyDescent="0.3">
      <c r="A30" s="555"/>
      <c r="B30" s="96" t="s">
        <v>74</v>
      </c>
      <c r="C30" s="55"/>
      <c r="D30" s="896">
        <v>2023</v>
      </c>
      <c r="E30" s="896">
        <v>2022</v>
      </c>
      <c r="F30" s="599">
        <v>2021</v>
      </c>
      <c r="G30" s="599">
        <v>2020</v>
      </c>
      <c r="H30" s="554"/>
    </row>
    <row r="31" spans="1:14" x14ac:dyDescent="0.3">
      <c r="A31" s="556" t="s">
        <v>30</v>
      </c>
      <c r="B31" s="557">
        <f>AVERAGE(D31:F31)</f>
        <v>361.66666666666669</v>
      </c>
      <c r="C31" s="558"/>
      <c r="D31" s="987">
        <v>348</v>
      </c>
      <c r="E31" s="897">
        <v>378</v>
      </c>
      <c r="F31" s="742">
        <v>359</v>
      </c>
      <c r="G31" s="742">
        <v>344</v>
      </c>
      <c r="H31" s="554"/>
    </row>
    <row r="32" spans="1:14" x14ac:dyDescent="0.3">
      <c r="A32" s="556" t="s">
        <v>84</v>
      </c>
      <c r="B32" s="557">
        <f>AVERAGE(D32:F32)</f>
        <v>136.66666666666666</v>
      </c>
      <c r="C32" s="558"/>
      <c r="D32" s="987">
        <v>139</v>
      </c>
      <c r="E32" s="897">
        <v>145</v>
      </c>
      <c r="F32" s="742">
        <v>126</v>
      </c>
      <c r="G32" s="742">
        <v>118</v>
      </c>
      <c r="H32" s="554"/>
    </row>
    <row r="33" spans="1:8" x14ac:dyDescent="0.3">
      <c r="A33" s="556" t="s">
        <v>37</v>
      </c>
      <c r="B33" s="557">
        <f>AVERAGE(D33:F33)</f>
        <v>74.333333333333329</v>
      </c>
      <c r="C33" s="558"/>
      <c r="D33" s="987">
        <v>68</v>
      </c>
      <c r="E33" s="897">
        <v>80</v>
      </c>
      <c r="F33" s="742">
        <v>75</v>
      </c>
      <c r="G33" s="742">
        <v>56</v>
      </c>
      <c r="H33" s="554"/>
    </row>
    <row r="34" spans="1:8" x14ac:dyDescent="0.3">
      <c r="A34" s="555"/>
      <c r="B34" s="188">
        <f>SUM(B31:B33)</f>
        <v>572.66666666666674</v>
      </c>
      <c r="C34" s="241"/>
      <c r="D34" s="895">
        <f>SUM(D31:D33)</f>
        <v>555</v>
      </c>
      <c r="E34" s="895">
        <v>603</v>
      </c>
      <c r="F34" s="96">
        <f>SUM(F31:F33)</f>
        <v>560</v>
      </c>
      <c r="G34" s="96">
        <f>SUM(G31:G33)</f>
        <v>518</v>
      </c>
      <c r="H34" s="554"/>
    </row>
    <row r="35" spans="1:8" x14ac:dyDescent="0.3">
      <c r="A35" s="555"/>
      <c r="B35" s="241"/>
      <c r="C35" s="55"/>
      <c r="D35" s="884"/>
      <c r="E35" s="322"/>
      <c r="F35" s="53"/>
      <c r="G35" s="53"/>
      <c r="H35" s="554"/>
    </row>
    <row r="36" spans="1:8" x14ac:dyDescent="0.3">
      <c r="A36" s="555"/>
      <c r="B36" s="241"/>
      <c r="C36" s="241"/>
      <c r="D36" s="1050" t="s">
        <v>163</v>
      </c>
      <c r="E36" s="1050"/>
      <c r="F36" s="1050"/>
      <c r="G36" s="53"/>
      <c r="H36" s="554"/>
    </row>
    <row r="37" spans="1:8" x14ac:dyDescent="0.3">
      <c r="A37" s="553"/>
      <c r="B37" s="53"/>
      <c r="C37" s="53"/>
      <c r="D37" s="559">
        <f t="shared" ref="D37:F40" si="0">D31/E31</f>
        <v>0.92063492063492058</v>
      </c>
      <c r="E37" s="559">
        <f t="shared" si="0"/>
        <v>1.0529247910863511</v>
      </c>
      <c r="F37" s="559">
        <f>F31/G31</f>
        <v>1.0436046511627908</v>
      </c>
      <c r="G37" s="53"/>
      <c r="H37" s="554"/>
    </row>
    <row r="38" spans="1:8" x14ac:dyDescent="0.3">
      <c r="A38" s="560"/>
      <c r="B38" s="241"/>
      <c r="C38" s="241"/>
      <c r="D38" s="559">
        <f t="shared" si="0"/>
        <v>0.95862068965517244</v>
      </c>
      <c r="E38" s="559">
        <f>E32/F32</f>
        <v>1.1507936507936507</v>
      </c>
      <c r="F38" s="559">
        <f t="shared" si="0"/>
        <v>1.0677966101694916</v>
      </c>
      <c r="G38" s="53"/>
      <c r="H38" s="554"/>
    </row>
    <row r="39" spans="1:8" x14ac:dyDescent="0.3">
      <c r="A39" s="555"/>
      <c r="B39" s="241"/>
      <c r="C39" s="241"/>
      <c r="D39" s="559">
        <f>D33/E33</f>
        <v>0.85</v>
      </c>
      <c r="E39" s="559">
        <f t="shared" si="0"/>
        <v>1.0666666666666667</v>
      </c>
      <c r="F39" s="559">
        <f t="shared" si="0"/>
        <v>1.3392857142857142</v>
      </c>
      <c r="G39" s="53"/>
      <c r="H39" s="554"/>
    </row>
    <row r="40" spans="1:8" x14ac:dyDescent="0.3">
      <c r="A40" s="555"/>
      <c r="B40" s="241"/>
      <c r="C40" s="241"/>
      <c r="D40" s="559">
        <f>D34/E34</f>
        <v>0.92039800995024879</v>
      </c>
      <c r="E40" s="559">
        <f t="shared" si="0"/>
        <v>1.0767857142857142</v>
      </c>
      <c r="F40" s="559">
        <f t="shared" si="0"/>
        <v>1.0810810810810811</v>
      </c>
      <c r="G40" s="53"/>
      <c r="H40" s="554"/>
    </row>
    <row r="41" spans="1:8" x14ac:dyDescent="0.3">
      <c r="A41" s="561"/>
      <c r="B41" s="562"/>
      <c r="C41" s="562"/>
      <c r="D41" s="562"/>
      <c r="E41" s="562"/>
      <c r="F41" s="181"/>
      <c r="G41" s="563"/>
      <c r="H41" s="564"/>
    </row>
    <row r="42" spans="1:8" x14ac:dyDescent="0.3">
      <c r="D42" s="1"/>
      <c r="E42" s="1"/>
      <c r="F42" s="1"/>
    </row>
  </sheetData>
  <mergeCells count="2">
    <mergeCell ref="D36:F36"/>
    <mergeCell ref="A27:C27"/>
  </mergeCells>
  <phoneticPr fontId="0" type="noConversion"/>
  <printOptions gridLines="1"/>
  <pageMargins left="0.59055118110236227" right="0.39370078740157483" top="0.98425196850393704" bottom="0.98425196850393704" header="0.51181102362204722" footer="0.51181102362204722"/>
  <pageSetup paperSize="9" orientation="landscape" r:id="rId1"/>
  <headerFooter alignWithMargins="0">
    <oddHeader>&amp;C&amp;Z&amp;F&amp;RList: 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7"/>
  <sheetViews>
    <sheetView zoomScaleNormal="100" workbookViewId="0">
      <selection activeCell="AB26" sqref="AB26"/>
    </sheetView>
  </sheetViews>
  <sheetFormatPr defaultColWidth="9.109375" defaultRowHeight="15.6" x14ac:dyDescent="0.3"/>
  <cols>
    <col min="1" max="1" width="11.88671875" style="1" customWidth="1"/>
    <col min="2" max="2" width="13.33203125" style="1" customWidth="1"/>
    <col min="3" max="5" width="13.33203125" style="3" customWidth="1"/>
    <col min="6" max="6" width="15.6640625" style="14" bestFit="1" customWidth="1"/>
    <col min="7" max="7" width="12.6640625" style="14" bestFit="1" customWidth="1"/>
    <col min="8" max="8" width="13.88671875" style="3" customWidth="1"/>
    <col min="9" max="9" width="13.5546875" style="1" customWidth="1"/>
    <col min="10" max="10" width="14.33203125" style="1" bestFit="1" customWidth="1"/>
    <col min="11" max="11" width="7.88671875" style="1" bestFit="1" customWidth="1"/>
    <col min="12" max="12" width="5.6640625" style="1" customWidth="1"/>
    <col min="13" max="30" width="6.33203125" style="1" customWidth="1"/>
    <col min="31" max="16384" width="9.109375" style="1"/>
  </cols>
  <sheetData>
    <row r="1" spans="1:12" ht="17.399999999999999" x14ac:dyDescent="0.3">
      <c r="A1" s="8" t="s">
        <v>896</v>
      </c>
      <c r="I1" s="25"/>
    </row>
    <row r="2" spans="1:12" x14ac:dyDescent="0.3">
      <c r="A2" s="12"/>
      <c r="B2" s="3"/>
    </row>
    <row r="3" spans="1:12" x14ac:dyDescent="0.3">
      <c r="A3" s="12" t="s">
        <v>228</v>
      </c>
      <c r="B3" s="180">
        <v>8000</v>
      </c>
      <c r="C3" s="180">
        <v>8000</v>
      </c>
      <c r="D3" s="180">
        <v>12000</v>
      </c>
      <c r="E3" s="180">
        <v>14000</v>
      </c>
      <c r="F3" s="613"/>
      <c r="G3" s="40"/>
      <c r="H3" s="40"/>
      <c r="I3" s="40"/>
    </row>
    <row r="4" spans="1:12" s="4" customFormat="1" ht="62.4" x14ac:dyDescent="0.3">
      <c r="A4" s="2" t="s">
        <v>4</v>
      </c>
      <c r="B4" s="129" t="s">
        <v>540</v>
      </c>
      <c r="C4" s="129" t="s">
        <v>541</v>
      </c>
      <c r="D4" s="129" t="s">
        <v>198</v>
      </c>
      <c r="E4" s="129" t="s">
        <v>199</v>
      </c>
      <c r="F4" s="129" t="s">
        <v>543</v>
      </c>
      <c r="G4" s="129" t="s">
        <v>544</v>
      </c>
      <c r="H4" s="129" t="s">
        <v>200</v>
      </c>
      <c r="I4" s="129" t="s">
        <v>201</v>
      </c>
      <c r="J4" s="200" t="s">
        <v>36</v>
      </c>
      <c r="L4" s="173"/>
    </row>
    <row r="5" spans="1:12" x14ac:dyDescent="0.3">
      <c r="A5" s="2" t="s">
        <v>86</v>
      </c>
      <c r="B5" s="706">
        <f>MAX(M21:N21)+O21+P21+Q21+R21</f>
        <v>16</v>
      </c>
      <c r="C5" s="706">
        <f>Z21+MAX(AA21:AB21)</f>
        <v>0</v>
      </c>
      <c r="D5" s="706">
        <f>MAX(S21:T21)+MAX(U21:V21)+MAX(W21:X21)+Y21</f>
        <v>10</v>
      </c>
      <c r="E5" s="706">
        <f>MAX(AC21:AD21)+MAX(AE21:AF21)+MAX(AG21:AH21)+MAX(AI21:AJ21)+AK21+AL21</f>
        <v>6</v>
      </c>
      <c r="F5" s="5">
        <f>B5*$B$3</f>
        <v>128000</v>
      </c>
      <c r="G5" s="5">
        <f>C5*$C$3</f>
        <v>0</v>
      </c>
      <c r="H5" s="5">
        <f>D5*$D$3</f>
        <v>120000</v>
      </c>
      <c r="I5" s="5">
        <f>E5*$E$3</f>
        <v>84000</v>
      </c>
      <c r="J5" s="6">
        <f>SUM(F5:I5)</f>
        <v>332000</v>
      </c>
      <c r="L5" s="705">
        <v>388000</v>
      </c>
    </row>
    <row r="6" spans="1:12" x14ac:dyDescent="0.3">
      <c r="A6" s="2" t="s">
        <v>87</v>
      </c>
      <c r="B6" s="706">
        <f t="shared" ref="B6:B7" si="0">MAX(M22:N22)+O22+P22+Q22+R22</f>
        <v>20</v>
      </c>
      <c r="C6" s="706">
        <f t="shared" ref="C6:C7" si="1">Z22+MAX(AA22:AB22)</f>
        <v>7</v>
      </c>
      <c r="D6" s="706">
        <f t="shared" ref="D6:D7" si="2">MAX(S22:T22)+MAX(U22:V22)+MAX(W22:X22)+Y22</f>
        <v>68</v>
      </c>
      <c r="E6" s="706">
        <f t="shared" ref="E6:E7" si="3">MAX(AC22:AD22)+MAX(AE22:AF22)+MAX(AG22:AH22)+MAX(AI22:AJ22)+AK22+AL22</f>
        <v>50</v>
      </c>
      <c r="F6" s="5">
        <f t="shared" ref="F6:F7" si="4">B6*$B$3</f>
        <v>160000</v>
      </c>
      <c r="G6" s="5">
        <f t="shared" ref="G6:G7" si="5">C6*$C$3</f>
        <v>56000</v>
      </c>
      <c r="H6" s="5">
        <f t="shared" ref="H6:H7" si="6">D6*$D$3</f>
        <v>816000</v>
      </c>
      <c r="I6" s="5">
        <f>E6*$E$3</f>
        <v>700000</v>
      </c>
      <c r="J6" s="6">
        <f>SUM(F6:I6)</f>
        <v>1732000</v>
      </c>
      <c r="L6" s="705">
        <v>1284000</v>
      </c>
    </row>
    <row r="7" spans="1:12" x14ac:dyDescent="0.3">
      <c r="A7" s="2" t="s">
        <v>88</v>
      </c>
      <c r="B7" s="706">
        <f t="shared" si="0"/>
        <v>24</v>
      </c>
      <c r="C7" s="706">
        <f t="shared" si="1"/>
        <v>0</v>
      </c>
      <c r="D7" s="706">
        <f t="shared" si="2"/>
        <v>22</v>
      </c>
      <c r="E7" s="706">
        <f t="shared" si="3"/>
        <v>15</v>
      </c>
      <c r="F7" s="5">
        <f t="shared" si="4"/>
        <v>192000</v>
      </c>
      <c r="G7" s="5">
        <f t="shared" si="5"/>
        <v>0</v>
      </c>
      <c r="H7" s="5">
        <f t="shared" si="6"/>
        <v>264000</v>
      </c>
      <c r="I7" s="5">
        <f>E7*$E$3</f>
        <v>210000</v>
      </c>
      <c r="J7" s="6">
        <f>SUM(F7:I7)</f>
        <v>666000</v>
      </c>
      <c r="L7" s="705">
        <v>154000</v>
      </c>
    </row>
    <row r="8" spans="1:12" s="9" customFormat="1" ht="18" x14ac:dyDescent="0.35">
      <c r="A8" s="8"/>
      <c r="B8" s="201">
        <f t="shared" ref="B8:J8" si="7">SUM(B5:B7)</f>
        <v>60</v>
      </c>
      <c r="C8" s="201">
        <f t="shared" si="7"/>
        <v>7</v>
      </c>
      <c r="D8" s="201">
        <f t="shared" si="7"/>
        <v>100</v>
      </c>
      <c r="E8" s="201">
        <f t="shared" si="7"/>
        <v>71</v>
      </c>
      <c r="F8" s="202">
        <f t="shared" si="7"/>
        <v>480000</v>
      </c>
      <c r="G8" s="202">
        <f t="shared" si="7"/>
        <v>56000</v>
      </c>
      <c r="H8" s="202">
        <f t="shared" si="7"/>
        <v>1200000</v>
      </c>
      <c r="I8" s="202">
        <f t="shared" si="7"/>
        <v>994000</v>
      </c>
      <c r="J8" s="203">
        <f t="shared" si="7"/>
        <v>2730000</v>
      </c>
    </row>
    <row r="9" spans="1:12" ht="18" x14ac:dyDescent="0.35">
      <c r="A9" s="8"/>
      <c r="B9" s="715"/>
      <c r="C9" s="716"/>
      <c r="D9" s="715"/>
      <c r="E9" s="715"/>
      <c r="F9" s="204" t="s">
        <v>59</v>
      </c>
      <c r="G9" s="205">
        <f>F8+H8</f>
        <v>1680000</v>
      </c>
      <c r="H9" s="206"/>
      <c r="I9" s="3"/>
    </row>
    <row r="10" spans="1:12" ht="18.600000000000001" thickBot="1" x14ac:dyDescent="0.4">
      <c r="A10" s="12"/>
      <c r="B10" s="717"/>
      <c r="C10" s="717"/>
      <c r="D10" s="717"/>
      <c r="E10" s="717"/>
      <c r="F10" s="207" t="s">
        <v>95</v>
      </c>
      <c r="G10" s="208">
        <f>G8+I8</f>
        <v>1050000</v>
      </c>
      <c r="H10" s="206"/>
      <c r="I10" s="209"/>
      <c r="J10" s="42"/>
      <c r="K10" s="42"/>
      <c r="L10" s="42"/>
    </row>
    <row r="11" spans="1:12" ht="18" thickBot="1" x14ac:dyDescent="0.35">
      <c r="B11" s="718"/>
      <c r="C11" s="718"/>
      <c r="D11" s="718"/>
      <c r="E11" s="718"/>
      <c r="F11" s="210"/>
      <c r="G11" s="211">
        <f>SUM(G9:G10)</f>
        <v>2730000</v>
      </c>
      <c r="H11" s="206"/>
      <c r="I11" s="43"/>
      <c r="J11" s="44"/>
      <c r="K11" s="44"/>
      <c r="L11" s="42"/>
    </row>
    <row r="12" spans="1:12" ht="18" thickBot="1" x14ac:dyDescent="0.35">
      <c r="A12" s="42"/>
      <c r="B12" s="212"/>
      <c r="C12" s="212"/>
      <c r="D12" s="212"/>
      <c r="E12" s="212"/>
      <c r="F12" s="213"/>
      <c r="G12" s="11"/>
      <c r="H12" s="206"/>
      <c r="I12" s="43"/>
      <c r="J12" s="38"/>
      <c r="K12" s="38"/>
      <c r="L12" s="42"/>
    </row>
    <row r="13" spans="1:12" ht="18" thickBot="1" x14ac:dyDescent="0.35">
      <c r="B13" s="212"/>
      <c r="C13" s="212"/>
      <c r="D13" s="212"/>
      <c r="E13" s="212"/>
      <c r="G13" s="2"/>
      <c r="H13" s="14"/>
      <c r="I13" s="12" t="s">
        <v>32</v>
      </c>
      <c r="J13" s="586">
        <f>'1_Bc_Mag_DSP'!F6+'1_Bc_Mag_DSP'!F7</f>
        <v>36806956.18587409</v>
      </c>
      <c r="K13" s="38"/>
      <c r="L13" s="42"/>
    </row>
    <row r="14" spans="1:12" ht="18" thickBot="1" x14ac:dyDescent="0.35">
      <c r="A14" s="42"/>
      <c r="B14" s="38"/>
      <c r="C14" s="38"/>
      <c r="D14" s="1"/>
      <c r="H14" s="14"/>
      <c r="I14" s="190" t="s">
        <v>336</v>
      </c>
      <c r="J14" s="216">
        <f>J8</f>
        <v>2730000</v>
      </c>
      <c r="K14" s="215">
        <f>J14/$J$13</f>
        <v>7.4170762347573027E-2</v>
      </c>
      <c r="L14" s="42"/>
    </row>
    <row r="15" spans="1:12" ht="18" thickBot="1" x14ac:dyDescent="0.35">
      <c r="A15" s="40"/>
      <c r="B15" s="217"/>
      <c r="C15" s="38"/>
      <c r="D15" s="1"/>
      <c r="H15" s="14"/>
      <c r="I15" s="12" t="s">
        <v>337</v>
      </c>
      <c r="J15" s="214">
        <f>J13-J14</f>
        <v>34076956.18587409</v>
      </c>
      <c r="K15" s="215">
        <f>J15/$J$13</f>
        <v>0.92582923765242697</v>
      </c>
      <c r="L15" s="42"/>
    </row>
    <row r="16" spans="1:12" ht="17.399999999999999" x14ac:dyDescent="0.3">
      <c r="A16" s="42"/>
      <c r="B16" s="42"/>
      <c r="C16" s="38"/>
      <c r="I16" s="45"/>
      <c r="J16" s="46"/>
      <c r="K16" s="46"/>
      <c r="L16" s="42"/>
    </row>
    <row r="17" spans="1:38" x14ac:dyDescent="0.3">
      <c r="A17" s="42"/>
      <c r="B17" s="42"/>
      <c r="C17" s="38"/>
      <c r="I17" s="42"/>
      <c r="J17" s="47"/>
      <c r="K17" s="38"/>
      <c r="L17" s="42"/>
    </row>
    <row r="18" spans="1:38" ht="16.2" thickBot="1" x14ac:dyDescent="0.35">
      <c r="A18" s="42"/>
      <c r="B18" s="42"/>
      <c r="C18" s="38"/>
      <c r="I18" s="42"/>
      <c r="J18" s="42"/>
      <c r="K18" s="42"/>
      <c r="L18" s="42"/>
    </row>
    <row r="19" spans="1:38" x14ac:dyDescent="0.3">
      <c r="A19" s="42"/>
      <c r="B19" s="41"/>
      <c r="C19" s="48"/>
      <c r="D19" s="40"/>
      <c r="E19" s="40"/>
      <c r="F19" s="40"/>
      <c r="G19" s="40"/>
      <c r="H19" s="40"/>
      <c r="I19" s="218"/>
      <c r="J19" s="38"/>
      <c r="K19" s="42"/>
      <c r="L19" s="42"/>
      <c r="M19" s="1055" t="s">
        <v>358</v>
      </c>
      <c r="N19" s="1056"/>
      <c r="O19" s="1056"/>
      <c r="P19" s="1056"/>
      <c r="Q19" s="1056"/>
      <c r="R19" s="1056"/>
      <c r="S19" s="1055" t="s">
        <v>359</v>
      </c>
      <c r="T19" s="1056"/>
      <c r="U19" s="1056"/>
      <c r="V19" s="1056"/>
      <c r="W19" s="1056"/>
      <c r="X19" s="1056"/>
      <c r="Y19" s="1057"/>
      <c r="Z19" s="1056" t="s">
        <v>360</v>
      </c>
      <c r="AA19" s="1056"/>
      <c r="AB19" s="1056"/>
      <c r="AC19" s="1055" t="s">
        <v>361</v>
      </c>
      <c r="AD19" s="1056"/>
      <c r="AE19" s="1056"/>
      <c r="AF19" s="1056"/>
      <c r="AG19" s="1056"/>
      <c r="AH19" s="1056"/>
      <c r="AI19" s="1056"/>
      <c r="AJ19" s="1056"/>
      <c r="AK19" s="1056"/>
      <c r="AL19" s="1057"/>
    </row>
    <row r="20" spans="1:38" ht="16.2" thickBot="1" x14ac:dyDescent="0.35">
      <c r="A20" s="48"/>
      <c r="B20" s="48"/>
      <c r="C20" s="48"/>
      <c r="D20" s="40"/>
      <c r="E20" s="40"/>
      <c r="F20" s="40"/>
      <c r="G20" s="40"/>
      <c r="H20" s="40"/>
      <c r="I20" s="218"/>
      <c r="J20" s="47"/>
      <c r="K20" s="42"/>
      <c r="L20" s="43" t="s">
        <v>147</v>
      </c>
      <c r="M20" s="692" t="s">
        <v>362</v>
      </c>
      <c r="N20" s="693" t="s">
        <v>363</v>
      </c>
      <c r="O20" s="693" t="s">
        <v>364</v>
      </c>
      <c r="P20" s="693" t="s">
        <v>804</v>
      </c>
      <c r="Q20" s="693" t="s">
        <v>805</v>
      </c>
      <c r="R20" s="693" t="s">
        <v>365</v>
      </c>
      <c r="S20" s="692" t="s">
        <v>366</v>
      </c>
      <c r="T20" s="693" t="s">
        <v>367</v>
      </c>
      <c r="U20" s="693" t="s">
        <v>368</v>
      </c>
      <c r="V20" s="693" t="s">
        <v>369</v>
      </c>
      <c r="W20" s="893" t="s">
        <v>806</v>
      </c>
      <c r="X20" s="893" t="s">
        <v>807</v>
      </c>
      <c r="Y20" s="707" t="s">
        <v>370</v>
      </c>
      <c r="Z20" s="694" t="s">
        <v>142</v>
      </c>
      <c r="AA20" s="693" t="s">
        <v>371</v>
      </c>
      <c r="AB20" s="693" t="s">
        <v>372</v>
      </c>
      <c r="AC20" s="692" t="s">
        <v>373</v>
      </c>
      <c r="AD20" s="693" t="s">
        <v>374</v>
      </c>
      <c r="AE20" s="693" t="s">
        <v>375</v>
      </c>
      <c r="AF20" s="693" t="s">
        <v>376</v>
      </c>
      <c r="AG20" s="693" t="s">
        <v>808</v>
      </c>
      <c r="AH20" s="693" t="s">
        <v>809</v>
      </c>
      <c r="AI20" s="693" t="s">
        <v>810</v>
      </c>
      <c r="AJ20" s="693" t="s">
        <v>811</v>
      </c>
      <c r="AK20" s="693" t="s">
        <v>377</v>
      </c>
      <c r="AL20" s="707" t="s">
        <v>378</v>
      </c>
    </row>
    <row r="21" spans="1:38" x14ac:dyDescent="0.3">
      <c r="B21" s="40"/>
      <c r="C21" s="40"/>
      <c r="D21" s="40"/>
      <c r="E21" s="40"/>
      <c r="F21" s="40"/>
      <c r="G21" s="40"/>
      <c r="H21" s="40"/>
      <c r="I21" s="40"/>
      <c r="L21" s="15" t="s">
        <v>86</v>
      </c>
      <c r="M21" s="894">
        <v>0</v>
      </c>
      <c r="N21" s="891">
        <v>0</v>
      </c>
      <c r="O21" s="891">
        <v>16</v>
      </c>
      <c r="P21" s="891">
        <v>0</v>
      </c>
      <c r="Q21" s="891">
        <v>0</v>
      </c>
      <c r="R21" s="891">
        <v>0</v>
      </c>
      <c r="S21" s="695">
        <v>6</v>
      </c>
      <c r="T21" s="696">
        <v>7</v>
      </c>
      <c r="U21" s="696">
        <v>0</v>
      </c>
      <c r="V21" s="696">
        <v>0</v>
      </c>
      <c r="W21" s="892">
        <v>3</v>
      </c>
      <c r="X21" s="892">
        <v>3</v>
      </c>
      <c r="Y21" s="708">
        <v>0</v>
      </c>
      <c r="Z21" s="697">
        <v>0</v>
      </c>
      <c r="AA21" s="696">
        <v>0</v>
      </c>
      <c r="AB21" s="696">
        <v>0</v>
      </c>
      <c r="AC21" s="695">
        <v>0</v>
      </c>
      <c r="AD21" s="696">
        <v>0</v>
      </c>
      <c r="AE21" s="696">
        <v>0</v>
      </c>
      <c r="AF21" s="696">
        <v>0</v>
      </c>
      <c r="AG21" s="696">
        <v>5</v>
      </c>
      <c r="AH21" s="696">
        <v>6</v>
      </c>
      <c r="AI21" s="696">
        <v>0</v>
      </c>
      <c r="AJ21" s="696">
        <v>0</v>
      </c>
      <c r="AK21" s="696">
        <v>0</v>
      </c>
      <c r="AL21" s="708">
        <v>0</v>
      </c>
    </row>
    <row r="22" spans="1:38" x14ac:dyDescent="0.3">
      <c r="B22" s="40"/>
      <c r="C22" s="40"/>
      <c r="D22" s="40"/>
      <c r="E22" s="40"/>
      <c r="F22" s="40"/>
      <c r="G22" s="40"/>
      <c r="H22" s="40"/>
      <c r="I22" s="40"/>
      <c r="L22" s="15" t="s">
        <v>87</v>
      </c>
      <c r="M22" s="900">
        <v>0</v>
      </c>
      <c r="N22" s="901">
        <v>0</v>
      </c>
      <c r="O22" s="901">
        <v>20</v>
      </c>
      <c r="P22" s="901">
        <v>0</v>
      </c>
      <c r="Q22" s="901">
        <v>0</v>
      </c>
      <c r="R22" s="901">
        <v>0</v>
      </c>
      <c r="S22" s="698">
        <v>29</v>
      </c>
      <c r="T22" s="699">
        <v>30</v>
      </c>
      <c r="U22" s="699">
        <v>0</v>
      </c>
      <c r="V22" s="699">
        <v>0</v>
      </c>
      <c r="W22" s="902">
        <v>38</v>
      </c>
      <c r="X22" s="902">
        <v>38</v>
      </c>
      <c r="Y22" s="709">
        <v>0</v>
      </c>
      <c r="Z22" s="700">
        <v>5</v>
      </c>
      <c r="AA22" s="699">
        <v>2</v>
      </c>
      <c r="AB22" s="699">
        <v>2</v>
      </c>
      <c r="AC22" s="698">
        <v>4</v>
      </c>
      <c r="AD22" s="699">
        <v>4</v>
      </c>
      <c r="AE22" s="699">
        <v>1</v>
      </c>
      <c r="AF22" s="699">
        <v>1</v>
      </c>
      <c r="AG22" s="699">
        <v>41</v>
      </c>
      <c r="AH22" s="699">
        <v>41</v>
      </c>
      <c r="AI22" s="699">
        <v>0</v>
      </c>
      <c r="AJ22" s="699">
        <v>0</v>
      </c>
      <c r="AK22" s="699">
        <v>1</v>
      </c>
      <c r="AL22" s="709">
        <v>3</v>
      </c>
    </row>
    <row r="23" spans="1:38" ht="16.2" thickBot="1" x14ac:dyDescent="0.35">
      <c r="B23" s="40"/>
      <c r="C23" s="40"/>
      <c r="D23" s="40"/>
      <c r="E23" s="40"/>
      <c r="F23" s="40"/>
      <c r="G23" s="40"/>
      <c r="H23" s="40"/>
      <c r="I23" s="40"/>
      <c r="L23" s="15" t="s">
        <v>88</v>
      </c>
      <c r="M23" s="903">
        <v>0</v>
      </c>
      <c r="N23" s="904">
        <v>0</v>
      </c>
      <c r="O23" s="904">
        <v>19</v>
      </c>
      <c r="P23" s="904">
        <v>0</v>
      </c>
      <c r="Q23" s="904">
        <v>4</v>
      </c>
      <c r="R23" s="904">
        <v>1</v>
      </c>
      <c r="S23" s="701">
        <v>18</v>
      </c>
      <c r="T23" s="702">
        <v>17</v>
      </c>
      <c r="U23" s="702">
        <v>1</v>
      </c>
      <c r="V23" s="702">
        <v>1</v>
      </c>
      <c r="W23" s="905">
        <v>0</v>
      </c>
      <c r="X23" s="905">
        <v>0</v>
      </c>
      <c r="Y23" s="710">
        <v>3</v>
      </c>
      <c r="Z23" s="703">
        <v>0</v>
      </c>
      <c r="AA23" s="702">
        <v>0</v>
      </c>
      <c r="AB23" s="702">
        <v>0</v>
      </c>
      <c r="AC23" s="701">
        <v>1</v>
      </c>
      <c r="AD23" s="702">
        <v>1</v>
      </c>
      <c r="AE23" s="702">
        <v>0</v>
      </c>
      <c r="AF23" s="702">
        <v>1</v>
      </c>
      <c r="AG23" s="702">
        <v>13</v>
      </c>
      <c r="AH23" s="702">
        <v>13</v>
      </c>
      <c r="AI23" s="702">
        <v>0</v>
      </c>
      <c r="AJ23" s="702">
        <v>0</v>
      </c>
      <c r="AK23" s="702">
        <v>0</v>
      </c>
      <c r="AL23" s="710">
        <v>0</v>
      </c>
    </row>
    <row r="24" spans="1:38" x14ac:dyDescent="0.3">
      <c r="B24" s="40"/>
      <c r="C24" s="40"/>
      <c r="D24" s="40"/>
      <c r="E24" s="40"/>
      <c r="F24" s="40"/>
      <c r="G24" s="40"/>
      <c r="H24" s="40"/>
      <c r="I24" s="40"/>
      <c r="L24" s="42"/>
    </row>
    <row r="25" spans="1:38" x14ac:dyDescent="0.3">
      <c r="L25" s="704" t="s">
        <v>459</v>
      </c>
      <c r="M25" s="745"/>
      <c r="N25" s="746"/>
      <c r="O25" s="40"/>
      <c r="P25" s="218"/>
      <c r="Q25" s="42"/>
      <c r="R25" s="42"/>
    </row>
    <row r="26" spans="1:38" x14ac:dyDescent="0.3">
      <c r="L26" s="1053" t="s">
        <v>379</v>
      </c>
      <c r="M26" s="1054"/>
      <c r="N26" s="1054"/>
      <c r="O26" s="1054"/>
      <c r="P26" s="1054"/>
      <c r="Q26" s="1054"/>
      <c r="R26" s="1054"/>
    </row>
    <row r="27" spans="1:38" x14ac:dyDescent="0.3">
      <c r="L27" s="40"/>
      <c r="M27" s="40"/>
      <c r="N27" s="40"/>
      <c r="O27" s="40"/>
      <c r="P27" s="40"/>
    </row>
  </sheetData>
  <mergeCells count="5">
    <mergeCell ref="L26:R26"/>
    <mergeCell ref="M19:R19"/>
    <mergeCell ref="S19:Y19"/>
    <mergeCell ref="Z19:AB19"/>
    <mergeCell ref="AC19:AL19"/>
  </mergeCells>
  <phoneticPr fontId="0" type="noConversion"/>
  <printOptions gridLines="1"/>
  <pageMargins left="0.39370078740157483" right="0" top="0.98425196850393704" bottom="0.98425196850393704" header="0.51181102362204722" footer="0.51181102362204722"/>
  <pageSetup paperSize="9" scale="92" orientation="landscape" r:id="rId1"/>
  <headerFooter alignWithMargins="0">
    <oddHeader>&amp;L&amp;Z&amp;F&amp;RList: 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pageSetUpPr fitToPage="1"/>
  </sheetPr>
  <dimension ref="A1:AB22"/>
  <sheetViews>
    <sheetView workbookViewId="0">
      <selection activeCell="E28" sqref="E28"/>
    </sheetView>
  </sheetViews>
  <sheetFormatPr defaultColWidth="9.109375" defaultRowHeight="15.6" x14ac:dyDescent="0.3"/>
  <cols>
    <col min="1" max="1" width="20.109375" style="2" customWidth="1"/>
    <col min="2" max="2" width="15.44140625" style="3" bestFit="1" customWidth="1"/>
    <col min="3" max="3" width="15.109375" style="3" customWidth="1"/>
    <col min="4" max="4" width="14.44140625" style="3" customWidth="1"/>
    <col min="5" max="5" width="14.109375" style="3" customWidth="1"/>
    <col min="6" max="6" width="11.5546875" style="3" customWidth="1"/>
    <col min="7" max="7" width="12.109375" style="3" customWidth="1"/>
    <col min="8" max="8" width="13.33203125" style="3" customWidth="1"/>
    <col min="9" max="9" width="15.33203125" style="3" customWidth="1"/>
    <col min="10" max="11" width="11.33203125" style="3" customWidth="1"/>
    <col min="12" max="12" width="16.6640625" style="5" customWidth="1"/>
    <col min="13" max="13" width="18" style="1" customWidth="1"/>
    <col min="14" max="14" width="14.6640625" style="1" bestFit="1" customWidth="1"/>
    <col min="15" max="15" width="24.6640625" style="1" bestFit="1" customWidth="1"/>
    <col min="16" max="16" width="9.109375" style="1" customWidth="1"/>
    <col min="17" max="17" width="36.44140625" style="1" customWidth="1"/>
    <col min="18" max="18" width="4.88671875" style="1" bestFit="1" customWidth="1"/>
    <col min="19" max="19" width="5.88671875" style="1" customWidth="1"/>
    <col min="20" max="20" width="6" style="1" customWidth="1"/>
    <col min="21" max="22" width="6.33203125" style="1" customWidth="1"/>
    <col min="23" max="23" width="1.5546875" style="1" customWidth="1"/>
    <col min="24" max="24" width="6.5546875" style="1" bestFit="1" customWidth="1"/>
    <col min="25" max="25" width="5.88671875" style="1" bestFit="1" customWidth="1"/>
    <col min="26" max="16384" width="9.109375" style="1"/>
  </cols>
  <sheetData>
    <row r="1" spans="1:28" ht="16.8" x14ac:dyDescent="0.3">
      <c r="A1" s="49" t="s">
        <v>897</v>
      </c>
      <c r="M1" s="219"/>
    </row>
    <row r="2" spans="1:28" ht="16.8" x14ac:dyDescent="0.3">
      <c r="A2" s="61" t="s">
        <v>35</v>
      </c>
    </row>
    <row r="3" spans="1:28" ht="16.2" thickBot="1" x14ac:dyDescent="0.35">
      <c r="A3" s="1"/>
    </row>
    <row r="4" spans="1:28" ht="18" thickBot="1" x14ac:dyDescent="0.35">
      <c r="C4" s="1058" t="s">
        <v>34</v>
      </c>
      <c r="D4" s="1058"/>
      <c r="E4" s="1058"/>
      <c r="J4" s="15" t="s">
        <v>323</v>
      </c>
      <c r="K4" s="15"/>
      <c r="L4" s="226">
        <f>'1_Bc_Mag_DSP'!F8</f>
        <v>9052887.3854227066</v>
      </c>
    </row>
    <row r="5" spans="1:28" ht="18" x14ac:dyDescent="0.35">
      <c r="C5" s="220">
        <v>5</v>
      </c>
      <c r="D5" s="220">
        <v>2</v>
      </c>
      <c r="E5" s="220">
        <v>1</v>
      </c>
      <c r="F5" s="57"/>
      <c r="G5" s="40"/>
      <c r="H5" s="40"/>
    </row>
    <row r="6" spans="1:28" s="91" customFormat="1" ht="78" x14ac:dyDescent="0.25">
      <c r="A6" s="221" t="s">
        <v>4</v>
      </c>
      <c r="B6" s="222" t="s">
        <v>531</v>
      </c>
      <c r="C6" s="222" t="s">
        <v>33</v>
      </c>
      <c r="D6" s="222" t="s">
        <v>532</v>
      </c>
      <c r="E6" s="222" t="s">
        <v>533</v>
      </c>
      <c r="F6" s="222" t="s">
        <v>125</v>
      </c>
      <c r="G6" s="222" t="s">
        <v>126</v>
      </c>
      <c r="H6" s="222" t="s">
        <v>127</v>
      </c>
      <c r="I6" s="222" t="s">
        <v>128</v>
      </c>
      <c r="J6" s="221" t="s">
        <v>6</v>
      </c>
      <c r="K6" s="1003" t="s">
        <v>962</v>
      </c>
      <c r="L6" s="223" t="s">
        <v>5</v>
      </c>
      <c r="M6" s="222" t="s">
        <v>506</v>
      </c>
      <c r="O6" s="222" t="s">
        <v>507</v>
      </c>
    </row>
    <row r="7" spans="1:28" ht="23.1" customHeight="1" x14ac:dyDescent="0.3">
      <c r="A7" s="224" t="s">
        <v>86</v>
      </c>
      <c r="B7" s="907">
        <v>3</v>
      </c>
      <c r="C7" s="907">
        <v>4</v>
      </c>
      <c r="D7" s="907">
        <v>1</v>
      </c>
      <c r="E7" s="907">
        <v>2</v>
      </c>
      <c r="F7" s="751">
        <f>C7*$C$5</f>
        <v>20</v>
      </c>
      <c r="G7" s="751">
        <f>D7*$D$5</f>
        <v>2</v>
      </c>
      <c r="H7" s="751">
        <f>E7*$E$5</f>
        <v>2</v>
      </c>
      <c r="I7" s="39">
        <f>SUM(F7:H7)</f>
        <v>24</v>
      </c>
      <c r="J7" s="788">
        <f>I7/$I$14</f>
        <v>0.13953488372093023</v>
      </c>
      <c r="K7" s="1004">
        <f>I7/SUM($I$7:$I$10)</f>
        <v>0.18320610687022901</v>
      </c>
      <c r="L7" s="225">
        <f>$L$4*J7</f>
        <v>1263193.5886636334</v>
      </c>
      <c r="M7" s="225"/>
      <c r="O7" s="225">
        <f>L7+$M$10*(1-$N$10)*K7</f>
        <v>1511979.3887181256</v>
      </c>
    </row>
    <row r="8" spans="1:28" ht="23.1" customHeight="1" x14ac:dyDescent="0.3">
      <c r="A8" s="224" t="s">
        <v>87</v>
      </c>
      <c r="B8" s="907">
        <v>10</v>
      </c>
      <c r="C8" s="907">
        <v>4</v>
      </c>
      <c r="D8" s="907">
        <v>2</v>
      </c>
      <c r="E8" s="907">
        <v>8</v>
      </c>
      <c r="F8" s="751">
        <f>C8*$C$5</f>
        <v>20</v>
      </c>
      <c r="G8" s="751">
        <f>D8*$D$5</f>
        <v>4</v>
      </c>
      <c r="H8" s="751">
        <f>E8*$E$5</f>
        <v>8</v>
      </c>
      <c r="I8" s="39">
        <f>SUM(F8:H8)</f>
        <v>32</v>
      </c>
      <c r="J8" s="788">
        <f t="shared" ref="J8:J10" si="0">I8/$I$14</f>
        <v>0.18604651162790697</v>
      </c>
      <c r="K8" s="1004">
        <f t="shared" ref="K8:K10" si="1">I8/SUM($I$7:$I$10)</f>
        <v>0.24427480916030533</v>
      </c>
      <c r="L8" s="225">
        <f>$L$4*J8</f>
        <v>1684258.1182181779</v>
      </c>
      <c r="M8" s="225"/>
      <c r="O8" s="225">
        <f t="shared" ref="O8:O9" si="2">L8+$M$10*(1-$N$10)*K8</f>
        <v>2015972.5182908343</v>
      </c>
    </row>
    <row r="9" spans="1:28" ht="23.1" customHeight="1" x14ac:dyDescent="0.3">
      <c r="A9" s="224" t="s">
        <v>88</v>
      </c>
      <c r="B9" s="907">
        <v>27</v>
      </c>
      <c r="C9" s="907">
        <v>9</v>
      </c>
      <c r="D9" s="907">
        <v>3</v>
      </c>
      <c r="E9" s="907">
        <v>24</v>
      </c>
      <c r="F9" s="751">
        <f>C9*$C$5</f>
        <v>45</v>
      </c>
      <c r="G9" s="751">
        <f>D9*$D$5</f>
        <v>6</v>
      </c>
      <c r="H9" s="751">
        <f>E9*$E$5</f>
        <v>24</v>
      </c>
      <c r="I9" s="39">
        <f>SUM(F9:H9)</f>
        <v>75</v>
      </c>
      <c r="J9" s="788">
        <f t="shared" si="0"/>
        <v>0.43604651162790697</v>
      </c>
      <c r="K9" s="1004">
        <f t="shared" si="1"/>
        <v>0.5725190839694656</v>
      </c>
      <c r="L9" s="225">
        <f>$L$4*J9</f>
        <v>3947479.9645738546</v>
      </c>
      <c r="M9" s="225"/>
      <c r="O9" s="225">
        <f t="shared" si="2"/>
        <v>4724935.5897441432</v>
      </c>
    </row>
    <row r="10" spans="1:28" ht="23.1" customHeight="1" x14ac:dyDescent="0.3">
      <c r="A10" s="224" t="s">
        <v>75</v>
      </c>
      <c r="B10" s="907">
        <v>0</v>
      </c>
      <c r="C10" s="907">
        <v>0</v>
      </c>
      <c r="D10" s="907">
        <v>0</v>
      </c>
      <c r="E10" s="907">
        <v>0</v>
      </c>
      <c r="F10" s="751">
        <f>C10*$C$5</f>
        <v>0</v>
      </c>
      <c r="G10" s="751">
        <f>D10*$D$5</f>
        <v>0</v>
      </c>
      <c r="H10" s="751">
        <f>E10*$E$5</f>
        <v>0</v>
      </c>
      <c r="I10" s="39">
        <f>SUM(F10:H10)</f>
        <v>0</v>
      </c>
      <c r="J10" s="788">
        <f t="shared" si="0"/>
        <v>0</v>
      </c>
      <c r="K10" s="1004">
        <f t="shared" si="1"/>
        <v>0</v>
      </c>
      <c r="L10" s="225">
        <f>$L$4*J10</f>
        <v>0</v>
      </c>
      <c r="M10" s="1002">
        <f>SUM(L11:L13)</f>
        <v>2157955.7139670406</v>
      </c>
      <c r="N10" s="1001">
        <v>0.37072117999999998</v>
      </c>
      <c r="O10" s="225">
        <f>M10*N10</f>
        <v>799999.88866960374</v>
      </c>
      <c r="Q10" s="219" t="s">
        <v>435</v>
      </c>
    </row>
    <row r="11" spans="1:28" ht="23.1" customHeight="1" x14ac:dyDescent="0.3">
      <c r="A11" s="783" t="s">
        <v>446</v>
      </c>
      <c r="B11" s="907">
        <v>1</v>
      </c>
      <c r="C11" s="907">
        <v>6</v>
      </c>
      <c r="D11" s="907">
        <v>0</v>
      </c>
      <c r="E11" s="907">
        <v>1</v>
      </c>
      <c r="F11" s="784">
        <f t="shared" ref="F11:F13" si="3">C11*$C$5</f>
        <v>30</v>
      </c>
      <c r="G11" s="784">
        <f t="shared" ref="G11:G12" si="4">D11*$D$5</f>
        <v>0</v>
      </c>
      <c r="H11" s="784">
        <f t="shared" ref="H11:H13" si="5">E11*$E$5</f>
        <v>1</v>
      </c>
      <c r="I11" s="785">
        <f t="shared" ref="I11:I13" si="6">SUM(F11:H11)</f>
        <v>31</v>
      </c>
      <c r="J11" s="786">
        <f t="shared" ref="J11:J13" si="7">I11/$I$14</f>
        <v>0.18023255813953487</v>
      </c>
      <c r="K11" s="1005">
        <f>I11/SUM($I$11:$I$13)</f>
        <v>0.75609756097560976</v>
      </c>
      <c r="L11" s="787">
        <f>$L$4*J11</f>
        <v>1631625.0520238597</v>
      </c>
      <c r="M11" s="225"/>
      <c r="O11" s="790">
        <f>L11/SUM($L$11:$L$13)*(SUM($L$11:$L$13)-$M$10)</f>
        <v>0</v>
      </c>
      <c r="Q11" s="514" t="str">
        <f>"Převod 106 na "&amp;A11</f>
        <v>Převod 106 na CXI</v>
      </c>
    </row>
    <row r="12" spans="1:28" ht="23.1" customHeight="1" x14ac:dyDescent="0.3">
      <c r="A12" s="783" t="s">
        <v>427</v>
      </c>
      <c r="B12" s="907">
        <v>8</v>
      </c>
      <c r="C12" s="907">
        <v>0</v>
      </c>
      <c r="D12" s="907">
        <v>1</v>
      </c>
      <c r="E12" s="907">
        <v>7</v>
      </c>
      <c r="F12" s="784">
        <f t="shared" si="3"/>
        <v>0</v>
      </c>
      <c r="G12" s="784">
        <f t="shared" si="4"/>
        <v>2</v>
      </c>
      <c r="H12" s="784">
        <f t="shared" si="5"/>
        <v>7</v>
      </c>
      <c r="I12" s="785">
        <f t="shared" si="6"/>
        <v>9</v>
      </c>
      <c r="J12" s="786">
        <f t="shared" si="7"/>
        <v>5.232558139534884E-2</v>
      </c>
      <c r="K12" s="1005">
        <f t="shared" ref="K12:K13" si="8">I12/SUM($I$11:$I$13)</f>
        <v>0.21951219512195122</v>
      </c>
      <c r="L12" s="787">
        <f t="shared" ref="L12:L13" si="9">$L$4*J12</f>
        <v>473697.5957488626</v>
      </c>
      <c r="M12" s="225"/>
      <c r="O12" s="790">
        <f>L12/SUM($L$11:$L$13)*(SUM($L$11:$L$13)-$M$10)</f>
        <v>0</v>
      </c>
      <c r="Q12" s="514" t="str">
        <f t="shared" ref="Q12:Q13" si="10">"Převod 106 na "&amp;A12</f>
        <v>Převod 106 na KCH</v>
      </c>
    </row>
    <row r="13" spans="1:28" ht="23.1" customHeight="1" thickBot="1" x14ac:dyDescent="0.35">
      <c r="A13" s="783" t="s">
        <v>471</v>
      </c>
      <c r="B13" s="907">
        <v>1</v>
      </c>
      <c r="C13" s="907">
        <v>0</v>
      </c>
      <c r="D13" s="907">
        <v>0</v>
      </c>
      <c r="E13" s="907">
        <v>1</v>
      </c>
      <c r="F13" s="784">
        <f t="shared" si="3"/>
        <v>0</v>
      </c>
      <c r="G13" s="784">
        <f>D13*$D$5</f>
        <v>0</v>
      </c>
      <c r="H13" s="784">
        <f t="shared" si="5"/>
        <v>1</v>
      </c>
      <c r="I13" s="785">
        <f t="shared" si="6"/>
        <v>1</v>
      </c>
      <c r="J13" s="786">
        <f t="shared" si="7"/>
        <v>5.8139534883720929E-3</v>
      </c>
      <c r="K13" s="1005">
        <f t="shared" si="8"/>
        <v>2.4390243902439025E-2</v>
      </c>
      <c r="L13" s="787">
        <f t="shared" si="9"/>
        <v>52633.06619431806</v>
      </c>
      <c r="M13" s="225"/>
      <c r="O13" s="790">
        <f>L13/SUM($L$11:$L$13)*(SUM($L$11:$L$13)-$M$10)</f>
        <v>0</v>
      </c>
      <c r="Q13" s="514" t="str">
        <f t="shared" si="10"/>
        <v>Převod 106 na KFY</v>
      </c>
    </row>
    <row r="14" spans="1:28" s="9" customFormat="1" ht="18.600000000000001" thickBot="1" x14ac:dyDescent="0.4">
      <c r="A14" s="8"/>
      <c r="B14" s="201">
        <f>SUM(B7:B13)</f>
        <v>50</v>
      </c>
      <c r="C14" s="201">
        <f t="shared" ref="C14:I14" si="11">SUM(C7:C13)</f>
        <v>23</v>
      </c>
      <c r="D14" s="201">
        <f t="shared" si="11"/>
        <v>7</v>
      </c>
      <c r="E14" s="201">
        <f>SUM(E7:E13)</f>
        <v>43</v>
      </c>
      <c r="F14" s="201">
        <f t="shared" si="11"/>
        <v>115</v>
      </c>
      <c r="G14" s="201">
        <f t="shared" si="11"/>
        <v>14</v>
      </c>
      <c r="H14" s="201">
        <f t="shared" si="11"/>
        <v>43</v>
      </c>
      <c r="I14" s="201">
        <f t="shared" si="11"/>
        <v>172</v>
      </c>
      <c r="J14" s="1007">
        <f t="shared" ref="J14" si="12">SUM(J7:J10)</f>
        <v>0.76162790697674421</v>
      </c>
      <c r="K14" s="1006" t="s">
        <v>963</v>
      </c>
      <c r="L14" s="59">
        <f>SUM(L7:L13)</f>
        <v>9052887.3854227066</v>
      </c>
      <c r="M14" s="59">
        <f>SUM(M7:M13)</f>
        <v>2157955.7139670406</v>
      </c>
      <c r="O14" s="59">
        <f>SUM(O7:O13)</f>
        <v>9052887.3854227066</v>
      </c>
    </row>
    <row r="15" spans="1:28" ht="16.2" thickBot="1" x14ac:dyDescent="0.35">
      <c r="D15" s="41"/>
      <c r="J15" s="3" t="s">
        <v>297</v>
      </c>
      <c r="L15" s="584">
        <f>L4-L14</f>
        <v>0</v>
      </c>
      <c r="O15" s="584">
        <f>L4-O14</f>
        <v>0</v>
      </c>
    </row>
    <row r="16" spans="1:28" ht="18" thickBot="1" x14ac:dyDescent="0.35">
      <c r="O16" s="59">
        <f>SUM(O11:O13)</f>
        <v>0</v>
      </c>
      <c r="P16"/>
      <c r="Q16" s="514" t="s">
        <v>508</v>
      </c>
      <c r="R16"/>
      <c r="S16"/>
      <c r="T16"/>
      <c r="U16"/>
      <c r="V16"/>
      <c r="W16"/>
      <c r="X16"/>
      <c r="Y16"/>
      <c r="Z16"/>
      <c r="AA16"/>
      <c r="AB16"/>
    </row>
    <row r="17" spans="2:28" x14ac:dyDescent="0.3"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2:28" x14ac:dyDescent="0.3"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2:28" x14ac:dyDescent="0.3">
      <c r="B19" s="907" t="s">
        <v>505</v>
      </c>
      <c r="C19" s="840" t="s">
        <v>960</v>
      </c>
      <c r="M19" s="1002" t="s">
        <v>505</v>
      </c>
      <c r="N19" s="840" t="s">
        <v>961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2:28" x14ac:dyDescent="0.3"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2:28" x14ac:dyDescent="0.3"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2:28" x14ac:dyDescent="0.3"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</sheetData>
  <mergeCells count="1">
    <mergeCell ref="C4:E4"/>
  </mergeCells>
  <phoneticPr fontId="0" type="noConversion"/>
  <printOptions gridLines="1"/>
  <pageMargins left="0.19685039370078741" right="0" top="0.98425196850393704" bottom="0.98425196850393704" header="0.51181102362204722" footer="0.51181102362204722"/>
  <pageSetup paperSize="9" scale="97" orientation="landscape" r:id="rId1"/>
  <headerFooter alignWithMargins="0">
    <oddHeader>&amp;L&amp;Z&amp;F&amp;RList: &amp;A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Y28"/>
  <sheetViews>
    <sheetView workbookViewId="0">
      <selection activeCell="F30" sqref="F30"/>
    </sheetView>
  </sheetViews>
  <sheetFormatPr defaultColWidth="9.109375" defaultRowHeight="13.2" x14ac:dyDescent="0.25"/>
  <cols>
    <col min="1" max="1" width="12" style="40" customWidth="1"/>
    <col min="2" max="2" width="10.88671875" style="40" customWidth="1"/>
    <col min="3" max="3" width="11.33203125" style="40" customWidth="1"/>
    <col min="4" max="4" width="26.88671875" style="40" customWidth="1"/>
    <col min="5" max="5" width="16.88671875" style="40" customWidth="1"/>
    <col min="6" max="6" width="12.109375" style="40" customWidth="1"/>
    <col min="7" max="7" width="11.5546875" style="40" customWidth="1"/>
    <col min="8" max="8" width="11.44140625" style="40" bestFit="1" customWidth="1"/>
    <col min="9" max="9" width="13.88671875" style="40" customWidth="1"/>
    <col min="10" max="10" width="2.88671875" style="40" customWidth="1"/>
    <col min="11" max="11" width="9.88671875" style="40" customWidth="1"/>
    <col min="12" max="12" width="10" style="40" customWidth="1"/>
    <col min="13" max="15" width="2.6640625" style="40" customWidth="1"/>
    <col min="16" max="16" width="9.109375" style="40"/>
    <col min="17" max="17" width="5.5546875" style="40" bestFit="1" customWidth="1"/>
    <col min="18" max="18" width="5.88671875" style="40" customWidth="1"/>
    <col min="19" max="23" width="9.109375" style="40"/>
    <col min="24" max="24" width="12.5546875" style="40" customWidth="1"/>
    <col min="25" max="25" width="11.44140625" style="40" customWidth="1"/>
    <col min="26" max="16384" width="9.109375" style="40"/>
  </cols>
  <sheetData>
    <row r="1" spans="1:25" ht="16.8" x14ac:dyDescent="0.3">
      <c r="A1" s="49" t="s">
        <v>237</v>
      </c>
      <c r="B1" s="3"/>
      <c r="C1" s="3"/>
      <c r="D1" s="3"/>
      <c r="E1" s="3"/>
      <c r="F1" s="4">
        <v>2024</v>
      </c>
      <c r="G1" s="3"/>
      <c r="H1" s="3"/>
      <c r="I1" s="5"/>
      <c r="J1" s="5"/>
      <c r="K1" s="5"/>
      <c r="L1" s="219"/>
    </row>
    <row r="2" spans="1:25" ht="16.8" x14ac:dyDescent="0.3">
      <c r="A2" s="61" t="s">
        <v>333</v>
      </c>
      <c r="B2" s="3"/>
      <c r="C2" s="3"/>
      <c r="D2" s="3"/>
      <c r="E2" s="3"/>
      <c r="F2" s="778"/>
      <c r="H2" s="3"/>
      <c r="I2" s="5"/>
      <c r="J2" s="5"/>
      <c r="K2" s="5"/>
      <c r="L2" s="1"/>
      <c r="N2" s="314"/>
    </row>
    <row r="3" spans="1:25" ht="15.6" x14ac:dyDescent="0.3">
      <c r="A3" s="1"/>
      <c r="B3" s="3"/>
      <c r="C3" s="3"/>
      <c r="D3" s="3"/>
      <c r="E3" s="3"/>
      <c r="F3" s="3"/>
      <c r="G3" s="3"/>
      <c r="H3" s="3"/>
      <c r="I3" s="5"/>
      <c r="J3" s="5"/>
      <c r="K3" s="5"/>
      <c r="L3" s="1"/>
    </row>
    <row r="4" spans="1:25" ht="15.6" x14ac:dyDescent="0.3">
      <c r="A4" s="2"/>
      <c r="B4" s="3"/>
      <c r="C4" s="3"/>
      <c r="D4" s="1058" t="s">
        <v>211</v>
      </c>
      <c r="E4" s="1058"/>
      <c r="F4" s="3"/>
      <c r="G4" s="3"/>
      <c r="H4" s="3"/>
      <c r="I4" s="5"/>
      <c r="J4" s="5"/>
      <c r="K4" s="5"/>
      <c r="L4" s="1"/>
    </row>
    <row r="5" spans="1:25" ht="15.6" x14ac:dyDescent="0.3">
      <c r="A5" s="2"/>
      <c r="B5" s="3"/>
      <c r="C5" s="3"/>
      <c r="D5" s="227">
        <v>60000</v>
      </c>
      <c r="E5" s="316">
        <v>80000</v>
      </c>
      <c r="F5" s="314"/>
      <c r="H5" s="3"/>
      <c r="I5" s="5"/>
      <c r="J5" s="5"/>
      <c r="K5" s="5"/>
      <c r="L5" s="1"/>
    </row>
    <row r="6" spans="1:25" s="284" customFormat="1" ht="46.8" x14ac:dyDescent="0.25">
      <c r="A6" s="221" t="s">
        <v>4</v>
      </c>
      <c r="B6" s="222" t="s">
        <v>153</v>
      </c>
      <c r="C6" s="222" t="s">
        <v>154</v>
      </c>
      <c r="D6" s="222" t="s">
        <v>155</v>
      </c>
      <c r="E6" s="222" t="s">
        <v>156</v>
      </c>
      <c r="F6" s="222" t="s">
        <v>216</v>
      </c>
      <c r="G6" s="222" t="s">
        <v>217</v>
      </c>
      <c r="H6" s="221" t="s">
        <v>6</v>
      </c>
      <c r="I6" s="223" t="s">
        <v>5</v>
      </c>
      <c r="J6" s="228"/>
      <c r="K6" s="285" t="s">
        <v>214</v>
      </c>
      <c r="L6" s="232" t="s">
        <v>215</v>
      </c>
    </row>
    <row r="7" spans="1:25" ht="15.6" x14ac:dyDescent="0.3">
      <c r="A7" s="224" t="s">
        <v>86</v>
      </c>
      <c r="B7" s="26">
        <v>2</v>
      </c>
      <c r="C7" s="26">
        <v>4</v>
      </c>
      <c r="D7" s="187">
        <v>1</v>
      </c>
      <c r="E7" s="187">
        <v>0</v>
      </c>
      <c r="F7" s="5">
        <f>D7*$D$5</f>
        <v>60000</v>
      </c>
      <c r="G7" s="5">
        <f>E7*$E$5</f>
        <v>0</v>
      </c>
      <c r="H7" s="186">
        <f>(F7+G7)/$H$10</f>
        <v>0.5</v>
      </c>
      <c r="I7" s="225">
        <f>F7+G7</f>
        <v>60000</v>
      </c>
      <c r="J7" s="115"/>
      <c r="K7" s="229">
        <f>H7*$I$15</f>
        <v>30000</v>
      </c>
      <c r="L7" s="1">
        <f>H7*$I$16</f>
        <v>30000</v>
      </c>
    </row>
    <row r="8" spans="1:25" ht="15.6" x14ac:dyDescent="0.3">
      <c r="A8" s="224" t="s">
        <v>87</v>
      </c>
      <c r="B8" s="26">
        <v>5</v>
      </c>
      <c r="C8" s="26">
        <v>4</v>
      </c>
      <c r="D8" s="187">
        <v>1</v>
      </c>
      <c r="E8" s="187">
        <v>0</v>
      </c>
      <c r="F8" s="5">
        <f>D8*$D$5</f>
        <v>60000</v>
      </c>
      <c r="G8" s="5">
        <f>E8*$E$5</f>
        <v>0</v>
      </c>
      <c r="H8" s="186">
        <f>(F8+G8)/$H$10</f>
        <v>0.5</v>
      </c>
      <c r="I8" s="225">
        <f>F8+G8</f>
        <v>60000</v>
      </c>
      <c r="J8" s="115"/>
      <c r="K8" s="229">
        <f>H8*$I$15</f>
        <v>30000</v>
      </c>
      <c r="L8" s="229">
        <f>H8*$I$16</f>
        <v>30000</v>
      </c>
    </row>
    <row r="9" spans="1:25" ht="16.2" thickBot="1" x14ac:dyDescent="0.35">
      <c r="A9" s="224" t="s">
        <v>88</v>
      </c>
      <c r="B9" s="26">
        <v>8</v>
      </c>
      <c r="C9" s="26">
        <v>1</v>
      </c>
      <c r="D9" s="187">
        <v>0</v>
      </c>
      <c r="E9" s="187">
        <v>0</v>
      </c>
      <c r="F9" s="5">
        <f>D9*$D$5</f>
        <v>0</v>
      </c>
      <c r="G9" s="5">
        <f>E9*$E$5</f>
        <v>0</v>
      </c>
      <c r="H9" s="186">
        <f>(F9+G9)/$H$10</f>
        <v>0</v>
      </c>
      <c r="I9" s="225">
        <f>F9+G9</f>
        <v>0</v>
      </c>
      <c r="J9" s="115"/>
      <c r="K9" s="229">
        <f>H9*$I$15</f>
        <v>0</v>
      </c>
      <c r="L9" s="229">
        <f>H9*$I$16</f>
        <v>0</v>
      </c>
    </row>
    <row r="10" spans="1:25" ht="18" thickBot="1" x14ac:dyDescent="0.35">
      <c r="A10" s="8"/>
      <c r="B10" s="201">
        <f t="shared" ref="B10:G10" si="0">SUM(B7:B9)</f>
        <v>15</v>
      </c>
      <c r="C10" s="201">
        <f t="shared" si="0"/>
        <v>9</v>
      </c>
      <c r="D10" s="201">
        <f t="shared" si="0"/>
        <v>2</v>
      </c>
      <c r="E10" s="201">
        <f t="shared" si="0"/>
        <v>0</v>
      </c>
      <c r="F10" s="202">
        <f t="shared" si="0"/>
        <v>120000</v>
      </c>
      <c r="G10" s="202">
        <f t="shared" si="0"/>
        <v>0</v>
      </c>
      <c r="H10" s="230">
        <f>F10+G10</f>
        <v>120000</v>
      </c>
      <c r="I10" s="287">
        <f>SUM(I7:I9)</f>
        <v>120000</v>
      </c>
      <c r="J10" s="60"/>
      <c r="K10" s="60"/>
      <c r="L10" s="231"/>
    </row>
    <row r="11" spans="1:25" ht="15.6" x14ac:dyDescent="0.3">
      <c r="A11" s="2"/>
      <c r="B11" s="3"/>
      <c r="C11" s="3"/>
      <c r="D11" s="3"/>
      <c r="E11" s="41"/>
      <c r="F11" s="3"/>
      <c r="G11" s="3"/>
      <c r="H11" s="3"/>
      <c r="I11" s="5"/>
      <c r="J11" s="5"/>
      <c r="K11" s="5"/>
      <c r="L11" s="1"/>
    </row>
    <row r="12" spans="1:25" s="375" customFormat="1" ht="15.6" x14ac:dyDescent="0.3">
      <c r="C12" s="376"/>
      <c r="D12" s="377"/>
      <c r="E12" s="377"/>
    </row>
    <row r="13" spans="1:25" s="375" customFormat="1" ht="15.6" x14ac:dyDescent="0.3">
      <c r="D13" s="377"/>
      <c r="E13" s="377"/>
    </row>
    <row r="14" spans="1:25" s="378" customFormat="1" ht="15.6" x14ac:dyDescent="0.3">
      <c r="H14" s="379" t="s">
        <v>164</v>
      </c>
      <c r="I14" s="544">
        <v>0.5</v>
      </c>
    </row>
    <row r="15" spans="1:25" s="378" customFormat="1" ht="15.6" x14ac:dyDescent="0.3">
      <c r="G15" s="380"/>
      <c r="H15" s="381" t="s">
        <v>165</v>
      </c>
      <c r="I15" s="382">
        <f>I10*I14</f>
        <v>60000</v>
      </c>
      <c r="P15" s="1" t="s">
        <v>194</v>
      </c>
    </row>
    <row r="16" spans="1:25" s="378" customFormat="1" ht="16.8" thickBot="1" x14ac:dyDescent="0.4">
      <c r="G16" s="380"/>
      <c r="H16" s="381" t="s">
        <v>166</v>
      </c>
      <c r="I16" s="382">
        <f>I10*(1-I14)</f>
        <v>60000</v>
      </c>
      <c r="P16" s="500" t="s">
        <v>258</v>
      </c>
      <c r="Q16" s="392"/>
      <c r="R16" s="456"/>
      <c r="S16" s="392"/>
      <c r="T16" s="392"/>
      <c r="U16" s="392"/>
      <c r="V16" s="392"/>
      <c r="W16" s="392"/>
      <c r="X16" s="392"/>
      <c r="Y16" s="392"/>
    </row>
    <row r="17" spans="1:25" s="375" customFormat="1" ht="18.600000000000001" thickBot="1" x14ac:dyDescent="0.4">
      <c r="I17" s="383">
        <f>SUM(I15:I16)</f>
        <v>120000</v>
      </c>
      <c r="P17" s="393"/>
      <c r="Q17" s="499">
        <v>2023</v>
      </c>
      <c r="R17" s="457">
        <v>0</v>
      </c>
      <c r="S17" s="499"/>
      <c r="T17" s="393"/>
      <c r="U17" s="393"/>
      <c r="V17" s="393"/>
      <c r="W17" s="393"/>
      <c r="X17" s="393"/>
      <c r="Y17" s="393"/>
    </row>
    <row r="18" spans="1:25" x14ac:dyDescent="0.25">
      <c r="A18" s="748" t="s">
        <v>437</v>
      </c>
      <c r="P18" s="394"/>
      <c r="Q18" s="499">
        <v>2022</v>
      </c>
      <c r="R18" s="457">
        <v>0</v>
      </c>
      <c r="S18" s="499"/>
      <c r="T18" s="394"/>
      <c r="U18" s="394"/>
      <c r="V18" s="394"/>
      <c r="W18" s="394"/>
      <c r="X18" s="394"/>
      <c r="Y18" s="394"/>
    </row>
    <row r="19" spans="1:25" x14ac:dyDescent="0.25">
      <c r="A19" s="40" t="s">
        <v>899</v>
      </c>
      <c r="P19" s="394"/>
      <c r="Q19" s="602">
        <v>2021</v>
      </c>
      <c r="R19" s="601">
        <v>0</v>
      </c>
      <c r="S19" s="747"/>
      <c r="T19" s="600"/>
      <c r="U19" s="600"/>
      <c r="V19" s="600"/>
      <c r="W19" s="600"/>
      <c r="X19" s="600"/>
      <c r="Y19" s="600"/>
    </row>
    <row r="20" spans="1:25" x14ac:dyDescent="0.25">
      <c r="A20" s="40" t="s">
        <v>812</v>
      </c>
      <c r="P20" s="394"/>
      <c r="Q20" s="393"/>
      <c r="R20" s="525"/>
      <c r="S20" s="499"/>
      <c r="T20" s="394"/>
      <c r="U20" s="394"/>
      <c r="V20" s="394"/>
      <c r="W20" s="394"/>
      <c r="X20" s="394"/>
      <c r="Y20" s="394"/>
    </row>
    <row r="21" spans="1:25" x14ac:dyDescent="0.25">
      <c r="P21" s="394"/>
      <c r="Q21" s="394"/>
      <c r="R21" s="457"/>
      <c r="S21" s="394"/>
      <c r="T21" s="394"/>
      <c r="U21" s="394"/>
      <c r="V21" s="394"/>
      <c r="W21" s="394"/>
      <c r="X21" s="394"/>
      <c r="Y21" s="394"/>
    </row>
    <row r="22" spans="1:25" x14ac:dyDescent="0.25">
      <c r="P22" s="394"/>
      <c r="Q22" s="394"/>
      <c r="R22" s="457"/>
      <c r="S22" s="394"/>
      <c r="T22" s="394"/>
      <c r="U22" s="394"/>
      <c r="V22" s="394"/>
      <c r="W22" s="394"/>
      <c r="X22" s="394"/>
      <c r="Y22" s="394"/>
    </row>
    <row r="23" spans="1:25" ht="16.2" x14ac:dyDescent="0.35">
      <c r="P23" s="500" t="s">
        <v>259</v>
      </c>
      <c r="Q23" s="394"/>
      <c r="R23" s="457"/>
      <c r="S23" s="394"/>
      <c r="T23" s="394"/>
      <c r="U23" s="394"/>
      <c r="V23" s="394"/>
      <c r="W23" s="394"/>
      <c r="X23" s="394"/>
      <c r="Y23" s="394"/>
    </row>
    <row r="24" spans="1:25" x14ac:dyDescent="0.25">
      <c r="P24" s="394"/>
      <c r="Q24" s="499">
        <v>2023</v>
      </c>
      <c r="R24" s="457">
        <v>0</v>
      </c>
      <c r="S24" s="499" t="s">
        <v>898</v>
      </c>
      <c r="T24" s="499"/>
      <c r="U24" s="499"/>
      <c r="V24" s="499"/>
      <c r="W24" s="394"/>
      <c r="X24" s="394"/>
      <c r="Y24" s="394"/>
    </row>
    <row r="25" spans="1:25" ht="15.6" x14ac:dyDescent="0.3">
      <c r="D25" s="1"/>
      <c r="P25" s="394"/>
      <c r="Q25" s="499">
        <v>2022</v>
      </c>
      <c r="R25" s="457">
        <v>2</v>
      </c>
      <c r="S25" s="499" t="s">
        <v>891</v>
      </c>
      <c r="T25" s="499"/>
      <c r="U25" s="499"/>
      <c r="V25" s="499"/>
      <c r="W25" s="394"/>
      <c r="X25" s="394"/>
      <c r="Y25" s="394"/>
    </row>
    <row r="26" spans="1:25" ht="15.6" x14ac:dyDescent="0.3">
      <c r="D26" s="1"/>
      <c r="P26" s="394"/>
      <c r="Q26" s="602">
        <v>2021</v>
      </c>
      <c r="R26" s="601">
        <v>0</v>
      </c>
      <c r="S26" s="747" t="s">
        <v>813</v>
      </c>
      <c r="T26" s="602"/>
      <c r="U26" s="602"/>
      <c r="V26" s="602"/>
      <c r="W26" s="600"/>
      <c r="X26" s="600"/>
      <c r="Y26" s="600"/>
    </row>
    <row r="27" spans="1:25" x14ac:dyDescent="0.25">
      <c r="P27" s="393"/>
      <c r="Q27" s="393"/>
      <c r="R27" s="910"/>
      <c r="S27" s="906"/>
      <c r="T27" s="908"/>
      <c r="U27" s="908"/>
      <c r="V27" s="908"/>
      <c r="W27" s="909"/>
      <c r="X27" s="394"/>
      <c r="Y27" s="394"/>
    </row>
    <row r="28" spans="1:25" x14ac:dyDescent="0.25">
      <c r="P28" s="393"/>
      <c r="Q28" s="393"/>
      <c r="R28" s="525"/>
      <c r="S28" s="393"/>
      <c r="T28" s="393"/>
      <c r="U28" s="393"/>
      <c r="V28" s="393"/>
      <c r="W28" s="393"/>
      <c r="X28" s="394"/>
      <c r="Y28" s="394"/>
    </row>
  </sheetData>
  <mergeCells count="1">
    <mergeCell ref="D4:E4"/>
  </mergeCells>
  <printOptions horizontalCentered="1" gridLines="1"/>
  <pageMargins left="0" right="0" top="1.3779527559055118" bottom="0.78740157480314965" header="0.9055118110236221" footer="0.31496062992125984"/>
  <pageSetup paperSize="9" orientation="landscape" r:id="rId1"/>
  <headerFooter>
    <oddHeader>&amp;R&amp;Z&amp;F
List: &amp;A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  <pageSetUpPr fitToPage="1"/>
  </sheetPr>
  <dimension ref="A1:Y28"/>
  <sheetViews>
    <sheetView workbookViewId="0">
      <selection activeCell="P26" sqref="P26"/>
    </sheetView>
  </sheetViews>
  <sheetFormatPr defaultColWidth="9.109375" defaultRowHeight="13.2" x14ac:dyDescent="0.25"/>
  <cols>
    <col min="1" max="1" width="21.88671875" style="40" customWidth="1"/>
    <col min="2" max="2" width="16" style="40" customWidth="1"/>
    <col min="3" max="3" width="17" style="40" customWidth="1"/>
    <col min="4" max="4" width="16" style="40" customWidth="1"/>
    <col min="5" max="5" width="5.109375" style="40" customWidth="1"/>
    <col min="6" max="6" width="14" style="40" customWidth="1"/>
    <col min="7" max="7" width="21.44140625" style="40" customWidth="1"/>
    <col min="8" max="8" width="18.5546875" style="40" customWidth="1"/>
    <col min="9" max="9" width="8.6640625" style="40" customWidth="1"/>
    <col min="10" max="10" width="7.6640625" style="40" customWidth="1"/>
    <col min="11" max="11" width="3.44140625" style="40" customWidth="1"/>
    <col min="12" max="12" width="11" style="40" customWidth="1"/>
    <col min="13" max="13" width="12.33203125" style="40" bestFit="1" customWidth="1"/>
    <col min="14" max="14" width="9.5546875" style="40" customWidth="1"/>
    <col min="15" max="15" width="9.109375" style="40"/>
    <col min="16" max="16" width="11.88671875" style="40" customWidth="1"/>
    <col min="17" max="16384" width="9.109375" style="40"/>
  </cols>
  <sheetData>
    <row r="1" spans="1:25" ht="16.8" x14ac:dyDescent="0.3">
      <c r="A1" s="526" t="s">
        <v>236</v>
      </c>
      <c r="B1" s="394"/>
      <c r="C1" s="394"/>
      <c r="E1" s="48"/>
    </row>
    <row r="2" spans="1:25" x14ac:dyDescent="0.25">
      <c r="E2" s="48"/>
    </row>
    <row r="3" spans="1:25" ht="17.399999999999999" x14ac:dyDescent="0.3">
      <c r="A3" s="603" t="s">
        <v>901</v>
      </c>
      <c r="E3" s="48"/>
      <c r="L3" s="778"/>
    </row>
    <row r="4" spans="1:25" ht="17.399999999999999" thickBot="1" x14ac:dyDescent="0.35">
      <c r="A4" s="49" t="s">
        <v>231</v>
      </c>
      <c r="C4" s="496" t="s">
        <v>252</v>
      </c>
      <c r="E4" s="48"/>
      <c r="G4" s="185" t="s">
        <v>251</v>
      </c>
      <c r="H4" s="587">
        <v>1.4999999999999999E-2</v>
      </c>
      <c r="L4" s="1059" t="s">
        <v>252</v>
      </c>
      <c r="M4" s="1059"/>
      <c r="N4" s="1059"/>
      <c r="O4" s="604" t="s">
        <v>902</v>
      </c>
      <c r="P4" s="605"/>
      <c r="Q4" s="605"/>
    </row>
    <row r="5" spans="1:25" s="1" customFormat="1" ht="17.399999999999999" thickBot="1" x14ac:dyDescent="0.35">
      <c r="A5" s="221" t="s">
        <v>4</v>
      </c>
      <c r="B5" s="222">
        <v>111</v>
      </c>
      <c r="C5" s="222">
        <v>113</v>
      </c>
      <c r="D5" s="222">
        <v>114</v>
      </c>
      <c r="E5" s="1010"/>
      <c r="F5" s="352"/>
      <c r="G5" s="15" t="s">
        <v>249</v>
      </c>
      <c r="H5" s="318">
        <f>('0_PRIDEL'!B19+'0_PRIDEL'!B20)*H4</f>
        <v>1025285.2643060324</v>
      </c>
      <c r="L5" s="222">
        <v>111</v>
      </c>
      <c r="M5" s="222">
        <v>113</v>
      </c>
      <c r="N5" s="222">
        <v>114</v>
      </c>
      <c r="O5" s="222" t="s">
        <v>7</v>
      </c>
      <c r="P5" s="317"/>
      <c r="Q5" s="317"/>
      <c r="R5" s="317"/>
      <c r="S5" s="317"/>
      <c r="T5" s="317"/>
      <c r="U5" s="317"/>
      <c r="V5" s="317"/>
      <c r="W5" s="317"/>
      <c r="X5" s="317"/>
      <c r="Y5" s="317"/>
    </row>
    <row r="6" spans="1:25" s="1" customFormat="1" ht="15.6" x14ac:dyDescent="0.3">
      <c r="A6" s="224" t="s">
        <v>86</v>
      </c>
      <c r="B6" s="1013">
        <f>L6</f>
        <v>4</v>
      </c>
      <c r="C6" s="1013">
        <f t="shared" ref="B6:D8" si="0">M6</f>
        <v>2</v>
      </c>
      <c r="D6" s="1013">
        <f>N6</f>
        <v>7.1</v>
      </c>
      <c r="E6" s="118"/>
      <c r="F6" s="1008"/>
      <c r="G6" s="12" t="s">
        <v>164</v>
      </c>
      <c r="H6" s="119">
        <v>0.5</v>
      </c>
      <c r="L6" s="536">
        <v>4</v>
      </c>
      <c r="M6" s="536">
        <v>2</v>
      </c>
      <c r="N6" s="536">
        <v>7.1</v>
      </c>
      <c r="O6" s="188">
        <f>SUM(L6:N6)</f>
        <v>13.1</v>
      </c>
      <c r="P6" s="224" t="s">
        <v>86</v>
      </c>
    </row>
    <row r="7" spans="1:25" s="1" customFormat="1" ht="15.6" x14ac:dyDescent="0.3">
      <c r="A7" s="224" t="s">
        <v>87</v>
      </c>
      <c r="B7" s="1013">
        <f t="shared" si="0"/>
        <v>2.25</v>
      </c>
      <c r="C7" s="1013">
        <f t="shared" si="0"/>
        <v>5</v>
      </c>
      <c r="D7" s="1013">
        <f t="shared" si="0"/>
        <v>21.4</v>
      </c>
      <c r="E7" s="118"/>
      <c r="F7" s="1008"/>
      <c r="G7" s="252" t="s">
        <v>165</v>
      </c>
      <c r="H7" s="14">
        <f>H6*SUM(F24:F26)</f>
        <v>512642.63215301622</v>
      </c>
      <c r="L7" s="536">
        <v>2.25</v>
      </c>
      <c r="M7" s="536">
        <v>5</v>
      </c>
      <c r="N7" s="536">
        <v>21.4</v>
      </c>
      <c r="O7" s="188">
        <f>SUM(L7:N7)</f>
        <v>28.65</v>
      </c>
      <c r="P7" s="224" t="s">
        <v>87</v>
      </c>
    </row>
    <row r="8" spans="1:25" s="1" customFormat="1" ht="15.6" x14ac:dyDescent="0.3">
      <c r="A8" s="224" t="s">
        <v>88</v>
      </c>
      <c r="B8" s="1013">
        <f t="shared" si="0"/>
        <v>0.3</v>
      </c>
      <c r="C8" s="1013">
        <f t="shared" si="0"/>
        <v>8</v>
      </c>
      <c r="D8" s="1013">
        <f t="shared" si="0"/>
        <v>13.55</v>
      </c>
      <c r="E8" s="118"/>
      <c r="F8" s="1008"/>
      <c r="G8" s="252" t="s">
        <v>166</v>
      </c>
      <c r="H8" s="14">
        <f>(1-H6)*SUM(F24:F26)</f>
        <v>512642.63215301622</v>
      </c>
      <c r="L8" s="536">
        <v>0.3</v>
      </c>
      <c r="M8" s="536">
        <v>8</v>
      </c>
      <c r="N8" s="536">
        <v>13.55</v>
      </c>
      <c r="O8" s="188">
        <f>SUM(L8:N8)</f>
        <v>21.85</v>
      </c>
      <c r="P8" s="224" t="s">
        <v>88</v>
      </c>
    </row>
    <row r="9" spans="1:25" s="1" customFormat="1" ht="15.6" x14ac:dyDescent="0.3">
      <c r="A9" s="275"/>
      <c r="B9" s="27"/>
      <c r="E9" s="42"/>
      <c r="L9" s="65">
        <f t="shared" ref="L9:N9" si="1">SUM(L6:L8)</f>
        <v>6.55</v>
      </c>
      <c r="M9" s="65">
        <f t="shared" si="1"/>
        <v>15</v>
      </c>
      <c r="N9" s="65">
        <f t="shared" si="1"/>
        <v>42.05</v>
      </c>
    </row>
    <row r="10" spans="1:25" s="1" customFormat="1" ht="16.8" x14ac:dyDescent="0.3">
      <c r="B10" s="49" t="s">
        <v>460</v>
      </c>
      <c r="C10" s="49"/>
      <c r="D10" s="49"/>
      <c r="E10" s="1009"/>
      <c r="F10" s="40"/>
      <c r="G10" s="40"/>
      <c r="H10" s="40"/>
      <c r="L10" s="1059" t="s">
        <v>250</v>
      </c>
      <c r="M10" s="1059"/>
      <c r="N10" s="1059"/>
      <c r="O10" s="4"/>
    </row>
    <row r="11" spans="1:25" s="1" customFormat="1" ht="15.6" x14ac:dyDescent="0.3">
      <c r="B11" s="227">
        <v>50000</v>
      </c>
      <c r="C11" s="227">
        <v>40000</v>
      </c>
      <c r="D11" s="227">
        <v>35000</v>
      </c>
      <c r="E11" s="1011"/>
      <c r="F11" s="40"/>
      <c r="G11" s="40"/>
      <c r="H11" s="2" t="s">
        <v>244</v>
      </c>
      <c r="L11" s="222">
        <v>111</v>
      </c>
      <c r="M11" s="222">
        <v>113</v>
      </c>
      <c r="N11" s="222">
        <v>114</v>
      </c>
      <c r="O11" s="222" t="s">
        <v>7</v>
      </c>
      <c r="P11" s="360"/>
    </row>
    <row r="12" spans="1:25" s="1" customFormat="1" ht="15.6" x14ac:dyDescent="0.3">
      <c r="A12" s="221" t="s">
        <v>4</v>
      </c>
      <c r="B12" s="222">
        <v>111</v>
      </c>
      <c r="C12" s="222">
        <v>113</v>
      </c>
      <c r="D12" s="222">
        <v>114</v>
      </c>
      <c r="E12" s="1010"/>
      <c r="F12" s="570"/>
      <c r="G12" s="966">
        <v>111</v>
      </c>
      <c r="H12" s="889" t="s">
        <v>239</v>
      </c>
      <c r="L12" s="536">
        <v>4</v>
      </c>
      <c r="M12" s="536">
        <v>2</v>
      </c>
      <c r="N12" s="536">
        <v>8</v>
      </c>
      <c r="O12" s="188">
        <f>SUM(L12:N12)</f>
        <v>14</v>
      </c>
      <c r="P12" s="224" t="s">
        <v>86</v>
      </c>
    </row>
    <row r="13" spans="1:25" ht="15.6" x14ac:dyDescent="0.3">
      <c r="A13" s="224" t="s">
        <v>86</v>
      </c>
      <c r="B13" s="319">
        <f>B6*B$11</f>
        <v>200000</v>
      </c>
      <c r="C13" s="320">
        <f t="shared" ref="B13:D15" si="2">C6*C$11</f>
        <v>80000</v>
      </c>
      <c r="D13" s="1015">
        <f t="shared" si="2"/>
        <v>248500</v>
      </c>
      <c r="E13" s="103"/>
      <c r="F13" s="1000"/>
      <c r="G13" s="966">
        <v>113</v>
      </c>
      <c r="H13" s="889" t="s">
        <v>240</v>
      </c>
      <c r="L13" s="536">
        <v>4</v>
      </c>
      <c r="M13" s="536">
        <v>5</v>
      </c>
      <c r="N13" s="536">
        <v>27</v>
      </c>
      <c r="O13" s="188">
        <f>SUM(L13:N13)</f>
        <v>36</v>
      </c>
      <c r="P13" s="224" t="s">
        <v>87</v>
      </c>
    </row>
    <row r="14" spans="1:25" ht="15.6" x14ac:dyDescent="0.3">
      <c r="A14" s="224" t="s">
        <v>87</v>
      </c>
      <c r="B14" s="321">
        <f t="shared" si="2"/>
        <v>112500</v>
      </c>
      <c r="C14" s="322">
        <f t="shared" si="2"/>
        <v>200000</v>
      </c>
      <c r="D14" s="1016">
        <f t="shared" si="2"/>
        <v>749000</v>
      </c>
      <c r="E14" s="103"/>
      <c r="F14" s="1000"/>
      <c r="G14" s="966">
        <v>114</v>
      </c>
      <c r="H14" s="889" t="s">
        <v>241</v>
      </c>
      <c r="L14" s="536">
        <v>1</v>
      </c>
      <c r="M14" s="536">
        <v>8</v>
      </c>
      <c r="N14" s="536">
        <v>17</v>
      </c>
      <c r="O14" s="188">
        <f>SUM(L14:N14)</f>
        <v>26</v>
      </c>
      <c r="P14" s="224" t="s">
        <v>88</v>
      </c>
    </row>
    <row r="15" spans="1:25" ht="15.6" x14ac:dyDescent="0.3">
      <c r="A15" s="224" t="s">
        <v>88</v>
      </c>
      <c r="B15" s="323">
        <f t="shared" si="2"/>
        <v>15000</v>
      </c>
      <c r="C15" s="181">
        <f t="shared" si="2"/>
        <v>320000</v>
      </c>
      <c r="D15" s="1017">
        <f t="shared" si="2"/>
        <v>474250</v>
      </c>
      <c r="E15" s="103"/>
      <c r="F15" s="1000"/>
      <c r="G15" s="2">
        <v>115</v>
      </c>
      <c r="H15" s="1" t="s">
        <v>242</v>
      </c>
      <c r="L15" s="535">
        <f t="shared" ref="L15:N15" si="3">SUM(L12:L14)</f>
        <v>9</v>
      </c>
      <c r="M15" s="535">
        <f t="shared" si="3"/>
        <v>15</v>
      </c>
      <c r="N15" s="535">
        <f t="shared" si="3"/>
        <v>52</v>
      </c>
      <c r="O15" s="4"/>
    </row>
    <row r="16" spans="1:25" ht="15.6" x14ac:dyDescent="0.3">
      <c r="B16" s="14"/>
      <c r="C16" s="14"/>
      <c r="D16" s="14"/>
      <c r="E16" s="147"/>
      <c r="F16" s="53"/>
      <c r="G16" s="2">
        <v>117</v>
      </c>
      <c r="H16" s="1" t="s">
        <v>243</v>
      </c>
      <c r="L16" s="48"/>
      <c r="M16" s="490"/>
      <c r="N16" s="38"/>
      <c r="O16" s="47"/>
      <c r="P16" s="491"/>
      <c r="Q16" s="48"/>
      <c r="R16" s="48"/>
      <c r="S16" s="48"/>
    </row>
    <row r="17" spans="1:19" ht="15.6" x14ac:dyDescent="0.3">
      <c r="A17" s="221" t="s">
        <v>4</v>
      </c>
      <c r="B17" s="222">
        <v>111</v>
      </c>
      <c r="C17" s="222">
        <v>113</v>
      </c>
      <c r="D17" s="222">
        <v>114</v>
      </c>
      <c r="E17" s="1010"/>
      <c r="F17" s="53"/>
      <c r="G17" s="2">
        <v>121</v>
      </c>
      <c r="H17" s="1" t="s">
        <v>285</v>
      </c>
      <c r="L17" s="779" t="s">
        <v>466</v>
      </c>
      <c r="M17" s="780"/>
      <c r="N17" s="780"/>
      <c r="O17" s="492"/>
      <c r="P17" s="491"/>
      <c r="Q17" s="48"/>
      <c r="R17" s="48"/>
      <c r="S17" s="48"/>
    </row>
    <row r="18" spans="1:19" ht="15.6" x14ac:dyDescent="0.3">
      <c r="A18" s="224" t="s">
        <v>86</v>
      </c>
      <c r="B18" s="324">
        <f>B13/SUM($B$13:$D$15)</f>
        <v>8.3359383140564763E-2</v>
      </c>
      <c r="C18" s="324">
        <f>C13/SUM($B$13:$D$15)</f>
        <v>3.3343753256225905E-2</v>
      </c>
      <c r="D18" s="1018">
        <f>D13/SUM($B$13:$D$15)</f>
        <v>0.10357403355215171</v>
      </c>
      <c r="E18" s="1014"/>
      <c r="F18" s="1000"/>
      <c r="G18" s="2">
        <v>131</v>
      </c>
      <c r="H18" s="1" t="s">
        <v>286</v>
      </c>
      <c r="L18" s="779" t="s">
        <v>964</v>
      </c>
      <c r="M18" s="489"/>
      <c r="N18" s="489"/>
      <c r="O18" s="493"/>
      <c r="P18" s="494"/>
      <c r="Q18" s="48"/>
      <c r="R18" s="48"/>
      <c r="S18" s="48"/>
    </row>
    <row r="19" spans="1:19" ht="15.6" x14ac:dyDescent="0.3">
      <c r="A19" s="224" t="s">
        <v>87</v>
      </c>
      <c r="B19" s="324">
        <f t="shared" ref="B19:D20" si="4">B14/SUM($B$13:$D$15)</f>
        <v>4.6889653016567674E-2</v>
      </c>
      <c r="C19" s="324">
        <f t="shared" si="4"/>
        <v>8.3359383140564763E-2</v>
      </c>
      <c r="D19" s="1018">
        <f t="shared" si="4"/>
        <v>0.31218088986141501</v>
      </c>
      <c r="E19" s="1014"/>
      <c r="F19" s="1000"/>
      <c r="G19" s="1"/>
      <c r="H19" s="1"/>
      <c r="L19" s="489"/>
      <c r="M19" s="489"/>
      <c r="N19" s="489"/>
      <c r="O19" s="493"/>
      <c r="P19" s="494"/>
      <c r="Q19" s="48"/>
      <c r="R19" s="48"/>
      <c r="S19" s="48"/>
    </row>
    <row r="20" spans="1:19" ht="15.6" x14ac:dyDescent="0.3">
      <c r="A20" s="224" t="s">
        <v>88</v>
      </c>
      <c r="B20" s="325">
        <f t="shared" si="4"/>
        <v>6.2519537355423573E-3</v>
      </c>
      <c r="C20" s="326">
        <f t="shared" si="4"/>
        <v>0.13337501302490362</v>
      </c>
      <c r="D20" s="1019">
        <f t="shared" si="4"/>
        <v>0.19766593727206419</v>
      </c>
      <c r="E20" s="1014"/>
      <c r="F20" s="1000"/>
      <c r="G20" s="1"/>
      <c r="H20" s="1"/>
      <c r="L20" s="489"/>
      <c r="M20" s="489"/>
      <c r="N20" s="489"/>
      <c r="O20" s="493"/>
      <c r="P20" s="494"/>
      <c r="Q20" s="48"/>
      <c r="R20" s="48"/>
      <c r="S20" s="48"/>
    </row>
    <row r="21" spans="1:19" ht="15.6" x14ac:dyDescent="0.3">
      <c r="B21" s="1"/>
      <c r="C21" s="1"/>
      <c r="D21" s="1"/>
      <c r="E21" s="42"/>
      <c r="F21" s="53"/>
      <c r="G21" s="1"/>
      <c r="H21" s="1"/>
      <c r="L21" s="495"/>
      <c r="M21" s="495"/>
      <c r="N21" s="495"/>
      <c r="O21" s="48"/>
      <c r="P21" s="48"/>
      <c r="Q21" s="48"/>
      <c r="R21" s="48"/>
      <c r="S21" s="48"/>
    </row>
    <row r="22" spans="1:19" ht="16.8" x14ac:dyDescent="0.3">
      <c r="B22" s="328" t="s">
        <v>232</v>
      </c>
      <c r="C22" s="328"/>
      <c r="D22" s="328"/>
      <c r="E22" s="1012"/>
      <c r="L22" s="48"/>
      <c r="M22" s="48"/>
      <c r="N22" s="48"/>
      <c r="O22" s="48"/>
      <c r="P22" s="48"/>
      <c r="Q22" s="48"/>
      <c r="R22" s="48"/>
      <c r="S22" s="48"/>
    </row>
    <row r="23" spans="1:19" ht="51" customHeight="1" thickBot="1" x14ac:dyDescent="0.3">
      <c r="A23" s="221" t="s">
        <v>4</v>
      </c>
      <c r="B23" s="222">
        <v>111</v>
      </c>
      <c r="C23" s="222">
        <v>113</v>
      </c>
      <c r="D23" s="222">
        <v>114</v>
      </c>
      <c r="E23" s="1010"/>
      <c r="F23" s="222" t="s">
        <v>233</v>
      </c>
      <c r="G23" s="636" t="s">
        <v>234</v>
      </c>
      <c r="H23" s="636" t="s">
        <v>235</v>
      </c>
      <c r="L23" s="48"/>
      <c r="M23" s="48"/>
      <c r="N23" s="48"/>
      <c r="O23" s="48"/>
      <c r="P23" s="48"/>
      <c r="Q23" s="48"/>
      <c r="R23" s="48"/>
      <c r="S23" s="48"/>
    </row>
    <row r="24" spans="1:19" ht="15.6" x14ac:dyDescent="0.3">
      <c r="A24" s="224" t="s">
        <v>86</v>
      </c>
      <c r="B24" s="329">
        <f t="shared" ref="B24:D26" si="5">B18*$H$5</f>
        <v>85467.147175661768</v>
      </c>
      <c r="C24" s="330">
        <f t="shared" si="5"/>
        <v>34186.85887026471</v>
      </c>
      <c r="D24" s="1020">
        <f t="shared" si="5"/>
        <v>106192.93036575973</v>
      </c>
      <c r="E24" s="109"/>
      <c r="F24" s="1023">
        <f>SUM(B24:D24)</f>
        <v>225846.93641168621</v>
      </c>
      <c r="G24" s="637">
        <f>F24*$H$6</f>
        <v>112923.46820584311</v>
      </c>
      <c r="H24" s="638">
        <f>F24*(1-$H$6)</f>
        <v>112923.46820584311</v>
      </c>
      <c r="I24" s="348"/>
      <c r="L24"/>
      <c r="M24"/>
      <c r="N24"/>
    </row>
    <row r="25" spans="1:19" ht="15.6" x14ac:dyDescent="0.3">
      <c r="A25" s="224" t="s">
        <v>87</v>
      </c>
      <c r="B25" s="331">
        <f t="shared" si="5"/>
        <v>48075.270286309737</v>
      </c>
      <c r="C25" s="229">
        <f t="shared" si="5"/>
        <v>85467.147175661768</v>
      </c>
      <c r="D25" s="1021">
        <f t="shared" si="5"/>
        <v>320074.46617285331</v>
      </c>
      <c r="E25" s="109"/>
      <c r="F25" s="1024">
        <f>SUM(B25:D25)</f>
        <v>453616.88363482483</v>
      </c>
      <c r="G25" s="639">
        <f>F25*$H$6</f>
        <v>226808.44181741241</v>
      </c>
      <c r="H25" s="640">
        <f>F25*(1-$H$6)</f>
        <v>226808.44181741241</v>
      </c>
      <c r="I25" s="348"/>
    </row>
    <row r="26" spans="1:19" ht="16.2" thickBot="1" x14ac:dyDescent="0.35">
      <c r="A26" s="224" t="s">
        <v>88</v>
      </c>
      <c r="B26" s="332">
        <f t="shared" si="5"/>
        <v>6410.0360381746323</v>
      </c>
      <c r="C26" s="333">
        <f t="shared" si="5"/>
        <v>136747.43548105884</v>
      </c>
      <c r="D26" s="1022">
        <f t="shared" si="5"/>
        <v>202663.97274028795</v>
      </c>
      <c r="E26" s="109"/>
      <c r="F26" s="1025">
        <f>SUM(B26:D26)</f>
        <v>345821.44425952144</v>
      </c>
      <c r="G26" s="641">
        <f>F26*$H$6</f>
        <v>172910.72212976072</v>
      </c>
      <c r="H26" s="642">
        <f>F26*(1-$H$6)</f>
        <v>172910.72212976072</v>
      </c>
      <c r="I26" s="348"/>
    </row>
    <row r="27" spans="1:19" ht="17.399999999999999" thickBot="1" x14ac:dyDescent="0.35">
      <c r="B27" s="12"/>
      <c r="C27" s="12"/>
      <c r="D27" s="12"/>
      <c r="E27" s="12"/>
      <c r="F27" s="334">
        <f>SUM(F24:F26)</f>
        <v>1025285.2643060324</v>
      </c>
      <c r="G27" s="635">
        <f>SUM(G24:G26)</f>
        <v>512642.63215301622</v>
      </c>
      <c r="H27" s="635">
        <f>SUM(H24:H26)</f>
        <v>512642.63215301622</v>
      </c>
    </row>
    <row r="28" spans="1:19" x14ac:dyDescent="0.25">
      <c r="F28" s="589" t="s">
        <v>297</v>
      </c>
      <c r="G28" s="588">
        <f>G27-H7</f>
        <v>0</v>
      </c>
      <c r="H28" s="588">
        <f>H27-H8</f>
        <v>0</v>
      </c>
    </row>
  </sheetData>
  <mergeCells count="2">
    <mergeCell ref="L4:N4"/>
    <mergeCell ref="L10:N10"/>
  </mergeCells>
  <printOptions horizontalCentered="1" gridLines="1"/>
  <pageMargins left="0" right="0" top="1.3779527559055118" bottom="0" header="0.70866141732283472" footer="0.31496062992125984"/>
  <pageSetup paperSize="9" scale="82" orientation="landscape" r:id="rId1"/>
  <headerFooter>
    <oddHeader>&amp;R&amp;Z&amp;F
List: 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88"/>
  <sheetViews>
    <sheetView topLeftCell="A329" zoomScaleNormal="100" workbookViewId="0">
      <selection activeCell="C357" activeCellId="1" sqref="C354 C357"/>
    </sheetView>
  </sheetViews>
  <sheetFormatPr defaultColWidth="9.109375" defaultRowHeight="15.6" x14ac:dyDescent="0.3"/>
  <cols>
    <col min="1" max="1" width="48" style="1" customWidth="1"/>
    <col min="2" max="2" width="21.33203125" style="1" customWidth="1"/>
    <col min="3" max="3" width="17.109375" style="1" customWidth="1"/>
    <col min="4" max="4" width="19.44140625" style="1" bestFit="1" customWidth="1"/>
    <col min="5" max="5" width="13.88671875" style="1" customWidth="1"/>
    <col min="6" max="6" width="13.6640625" style="1" customWidth="1"/>
    <col min="7" max="7" width="21.88671875" style="1" bestFit="1" customWidth="1"/>
    <col min="8" max="8" width="12.88671875" style="1" customWidth="1"/>
    <col min="9" max="9" width="17.6640625" style="1" customWidth="1"/>
    <col min="10" max="10" width="13.88671875" style="24" bestFit="1" customWidth="1"/>
    <col min="11" max="11" width="14.5546875" style="1" bestFit="1" customWidth="1"/>
    <col min="12" max="12" width="15.44140625" style="1" customWidth="1"/>
    <col min="13" max="13" width="14.6640625" style="1" customWidth="1"/>
    <col min="14" max="14" width="9.109375" style="1"/>
    <col min="15" max="15" width="15.44140625" style="1" customWidth="1"/>
    <col min="16" max="16" width="12" style="1" customWidth="1"/>
    <col min="17" max="16384" width="9.109375" style="1"/>
  </cols>
  <sheetData>
    <row r="1" spans="1:13" x14ac:dyDescent="0.3">
      <c r="A1" s="1033" t="s">
        <v>973</v>
      </c>
      <c r="B1" s="918"/>
      <c r="C1" s="886"/>
      <c r="D1" s="5"/>
      <c r="I1" s="120"/>
      <c r="J1" s="20"/>
      <c r="K1" s="27"/>
      <c r="L1" s="22"/>
      <c r="M1" s="27"/>
    </row>
    <row r="2" spans="1:13" x14ac:dyDescent="0.3">
      <c r="A2" s="1" t="s">
        <v>143</v>
      </c>
      <c r="C2" s="3"/>
      <c r="D2" s="196" t="s">
        <v>133</v>
      </c>
      <c r="E2" s="887" t="s">
        <v>24</v>
      </c>
      <c r="F2" s="37">
        <v>1.2</v>
      </c>
      <c r="G2" s="124">
        <v>1</v>
      </c>
      <c r="H2" s="124">
        <v>0.8</v>
      </c>
      <c r="I2" s="120"/>
      <c r="J2" s="20"/>
      <c r="K2" s="27"/>
      <c r="L2" s="22"/>
      <c r="M2" s="27"/>
    </row>
    <row r="3" spans="1:13" x14ac:dyDescent="0.3">
      <c r="A3" s="888" t="s">
        <v>144</v>
      </c>
      <c r="B3" s="888"/>
      <c r="C3" s="3"/>
      <c r="D3" s="196" t="s">
        <v>134</v>
      </c>
      <c r="E3" s="887" t="s">
        <v>25</v>
      </c>
      <c r="F3" s="37">
        <v>1.2</v>
      </c>
      <c r="G3" s="126">
        <v>1</v>
      </c>
      <c r="H3" s="126">
        <v>0.8</v>
      </c>
      <c r="I3" s="120"/>
      <c r="J3" s="20"/>
      <c r="K3" s="27"/>
      <c r="L3" s="22"/>
      <c r="M3" s="27"/>
    </row>
    <row r="4" spans="1:13" x14ac:dyDescent="0.3">
      <c r="A4" s="27"/>
      <c r="B4" s="27"/>
      <c r="C4" s="26"/>
      <c r="D4" s="127"/>
      <c r="E4" s="122"/>
      <c r="F4" s="123"/>
      <c r="G4" s="123"/>
      <c r="H4" s="123"/>
      <c r="I4" s="120" t="s">
        <v>89</v>
      </c>
      <c r="J4" s="20"/>
      <c r="K4" s="27"/>
      <c r="L4" s="22"/>
      <c r="M4" s="27"/>
    </row>
    <row r="5" spans="1:13" ht="63.75" customHeight="1" x14ac:dyDescent="0.3">
      <c r="A5" s="128" t="s">
        <v>3</v>
      </c>
      <c r="B5" s="1034" t="s">
        <v>974</v>
      </c>
      <c r="C5" s="129" t="s">
        <v>42</v>
      </c>
      <c r="D5" s="130" t="s">
        <v>43</v>
      </c>
      <c r="E5" s="131" t="s">
        <v>41</v>
      </c>
      <c r="F5" s="132" t="s">
        <v>64</v>
      </c>
      <c r="G5" s="132" t="s">
        <v>65</v>
      </c>
      <c r="H5" s="132" t="s">
        <v>66</v>
      </c>
      <c r="I5" s="132" t="s">
        <v>63</v>
      </c>
      <c r="J5" s="133"/>
      <c r="K5" s="378" t="s">
        <v>975</v>
      </c>
      <c r="L5" s="22"/>
      <c r="M5" s="117"/>
    </row>
    <row r="6" spans="1:13" x14ac:dyDescent="0.3">
      <c r="A6" s="2" t="s">
        <v>18</v>
      </c>
      <c r="B6" s="2"/>
      <c r="C6" s="885"/>
      <c r="D6" s="5"/>
      <c r="E6" s="3"/>
      <c r="F6" s="35"/>
      <c r="G6" s="35"/>
      <c r="H6" s="35"/>
      <c r="I6" s="35"/>
      <c r="J6" s="14"/>
      <c r="L6" s="22"/>
      <c r="M6" s="27"/>
    </row>
    <row r="7" spans="1:13" ht="15.75" customHeight="1" x14ac:dyDescent="0.3">
      <c r="A7" s="1" t="s">
        <v>545</v>
      </c>
      <c r="B7" s="1">
        <v>75</v>
      </c>
      <c r="C7" s="3">
        <v>14</v>
      </c>
      <c r="D7" s="5">
        <v>28</v>
      </c>
      <c r="E7" s="523">
        <v>4</v>
      </c>
      <c r="F7" s="35">
        <f t="shared" ref="F7:F9" si="0">IF(B7=0,0*C7*$F$2,C7*$F$2)</f>
        <v>16.8</v>
      </c>
      <c r="G7" s="134">
        <f t="array" ref="G7">IF(E7=0,0,IF(E7=1,D7*$G$2,D7*$G$2*2))</f>
        <v>56</v>
      </c>
      <c r="H7" s="134">
        <f t="array" ref="H7">IF(E7&gt;2,D7*(E7-2)*$H$2,0)</f>
        <v>44.800000000000004</v>
      </c>
      <c r="I7" s="37">
        <f>SUM(F7:H7)</f>
        <v>117.6</v>
      </c>
      <c r="J7" s="5" t="s">
        <v>30</v>
      </c>
      <c r="L7" s="13"/>
      <c r="M7" s="27"/>
    </row>
    <row r="8" spans="1:13" ht="15.75" customHeight="1" x14ac:dyDescent="0.3">
      <c r="A8" s="888" t="s">
        <v>546</v>
      </c>
      <c r="B8" s="888">
        <v>55</v>
      </c>
      <c r="C8" s="3">
        <v>28</v>
      </c>
      <c r="D8" s="5">
        <v>28</v>
      </c>
      <c r="E8" s="523">
        <v>5</v>
      </c>
      <c r="F8" s="35">
        <f t="shared" si="0"/>
        <v>33.6</v>
      </c>
      <c r="G8" s="134">
        <f t="array" ref="G8">IF(E8=0,0,IF(E8=1,D8*$G$2,D8*$G$2*2))</f>
        <v>56</v>
      </c>
      <c r="H8" s="134">
        <f t="array" ref="H8">IF(E8&gt;2,D8*(E8-2)*$H$2,0)</f>
        <v>67.2</v>
      </c>
      <c r="I8" s="37">
        <f>SUM(F8:H8)</f>
        <v>156.80000000000001</v>
      </c>
      <c r="J8" s="5" t="s">
        <v>30</v>
      </c>
      <c r="L8" s="13"/>
      <c r="M8" s="27"/>
    </row>
    <row r="9" spans="1:13" ht="15.75" customHeight="1" thickBot="1" x14ac:dyDescent="0.35">
      <c r="A9" s="888" t="s">
        <v>547</v>
      </c>
      <c r="B9" s="888">
        <v>56</v>
      </c>
      <c r="C9" s="3">
        <v>14</v>
      </c>
      <c r="D9" s="5">
        <v>14</v>
      </c>
      <c r="E9" s="523">
        <v>2</v>
      </c>
      <c r="F9" s="35">
        <f t="shared" si="0"/>
        <v>16.8</v>
      </c>
      <c r="G9" s="134">
        <f t="array" ref="G9">IF(E9=0,0,IF(E9=1,D9*$G$2,D9*$G$2*2))</f>
        <v>28</v>
      </c>
      <c r="H9" s="134">
        <f t="array" ref="H9">IF(E9&gt;2,D9*(E9-2)*$H$2,0)</f>
        <v>0</v>
      </c>
      <c r="I9" s="37">
        <f>SUM(F9:H9)</f>
        <v>44.8</v>
      </c>
      <c r="J9" s="5" t="s">
        <v>30</v>
      </c>
      <c r="K9" s="1" t="s">
        <v>976</v>
      </c>
      <c r="L9" s="13"/>
      <c r="M9" s="27"/>
    </row>
    <row r="10" spans="1:13" ht="15.75" customHeight="1" thickBot="1" x14ac:dyDescent="0.35">
      <c r="A10" s="19" t="s">
        <v>19</v>
      </c>
      <c r="B10" s="19"/>
      <c r="C10" s="84"/>
      <c r="D10" s="13"/>
      <c r="E10" s="26"/>
      <c r="F10" s="120"/>
      <c r="H10" s="120"/>
      <c r="I10" s="135">
        <f>SUM(I7:I9)</f>
        <v>319.2</v>
      </c>
      <c r="J10" s="13"/>
      <c r="K10" s="27"/>
      <c r="L10" s="22"/>
      <c r="M10" s="27"/>
    </row>
    <row r="11" spans="1:13" ht="15.75" customHeight="1" x14ac:dyDescent="0.3">
      <c r="A11" s="27" t="s">
        <v>548</v>
      </c>
      <c r="B11" s="27">
        <v>98</v>
      </c>
      <c r="C11" s="26">
        <v>28</v>
      </c>
      <c r="D11" s="13">
        <v>28</v>
      </c>
      <c r="E11" s="523">
        <v>5</v>
      </c>
      <c r="F11" s="120">
        <f t="shared" ref="F11:F15" si="1">IF(B11=0,0*C11*$F$2,C11*$F$2)</f>
        <v>33.6</v>
      </c>
      <c r="G11" s="134">
        <f t="array" ref="G11">IF(E11=0,0,IF(E11=1,D11*$G$2,D11*$G$2*2))</f>
        <v>56</v>
      </c>
      <c r="H11" s="134">
        <f t="array" ref="H11">IF(E11&gt;2,D11*(E11-2)*$H$2,0)</f>
        <v>67.2</v>
      </c>
      <c r="I11" s="123">
        <f t="shared" ref="I11:I15" si="2">SUM(F11:H11)</f>
        <v>156.80000000000001</v>
      </c>
      <c r="J11" s="13" t="s">
        <v>30</v>
      </c>
      <c r="L11" s="13"/>
      <c r="M11" s="27"/>
    </row>
    <row r="12" spans="1:13" ht="15.75" customHeight="1" x14ac:dyDescent="0.3">
      <c r="A12" s="27" t="s">
        <v>549</v>
      </c>
      <c r="B12" s="27">
        <v>22</v>
      </c>
      <c r="C12" s="26">
        <v>28</v>
      </c>
      <c r="D12" s="13">
        <v>28</v>
      </c>
      <c r="E12" s="523">
        <v>2</v>
      </c>
      <c r="F12" s="120">
        <f t="shared" si="1"/>
        <v>33.6</v>
      </c>
      <c r="G12" s="134">
        <f t="array" ref="G12">IF(E12=0,0,IF(E12=1,D12*$G$2,D12*$G$2*2))</f>
        <v>56</v>
      </c>
      <c r="H12" s="134">
        <f t="array" ref="H12">IF(E12&gt;2,D12*(E12-2)*$H$2,0)</f>
        <v>0</v>
      </c>
      <c r="I12" s="123">
        <f t="shared" si="2"/>
        <v>89.6</v>
      </c>
      <c r="J12" s="13" t="s">
        <v>30</v>
      </c>
      <c r="K12" s="1">
        <v>19.3</v>
      </c>
      <c r="L12" s="13"/>
      <c r="M12" s="27"/>
    </row>
    <row r="13" spans="1:13" x14ac:dyDescent="0.3">
      <c r="A13" s="125" t="s">
        <v>550</v>
      </c>
      <c r="B13" s="125">
        <v>44</v>
      </c>
      <c r="C13" s="26">
        <v>28</v>
      </c>
      <c r="D13" s="13">
        <v>28</v>
      </c>
      <c r="E13" s="523">
        <v>2</v>
      </c>
      <c r="F13" s="120">
        <f t="shared" si="1"/>
        <v>33.6</v>
      </c>
      <c r="G13" s="134">
        <f t="array" ref="G13">IF(E13=0,0,IF(E13=1,D13*$G$2,D13*$G$2*2))</f>
        <v>56</v>
      </c>
      <c r="H13" s="134">
        <f t="array" ref="H13">IF(E13&gt;2,D13*(E13-2)*$H$2,0)</f>
        <v>0</v>
      </c>
      <c r="I13" s="123">
        <f t="shared" si="2"/>
        <v>89.6</v>
      </c>
      <c r="J13" s="13" t="s">
        <v>30</v>
      </c>
      <c r="L13" s="13"/>
      <c r="M13" s="27"/>
    </row>
    <row r="14" spans="1:13" x14ac:dyDescent="0.3">
      <c r="A14" s="125" t="s">
        <v>551</v>
      </c>
      <c r="B14" s="125">
        <v>3</v>
      </c>
      <c r="C14" s="26">
        <v>28</v>
      </c>
      <c r="D14" s="13">
        <v>28</v>
      </c>
      <c r="E14" s="523">
        <v>1</v>
      </c>
      <c r="F14" s="120">
        <f t="shared" si="1"/>
        <v>33.6</v>
      </c>
      <c r="G14" s="134">
        <f t="array" ref="G14">IF(E14=0,0,IF(E14=1,D14*$G$2,D14*$G$2*2))</f>
        <v>28</v>
      </c>
      <c r="H14" s="134">
        <f t="array" ref="H14">IF(E14&gt;2,D14*(E14-2)*$H$2,0)</f>
        <v>0</v>
      </c>
      <c r="I14" s="123">
        <f t="shared" si="2"/>
        <v>61.6</v>
      </c>
      <c r="J14" s="13" t="s">
        <v>30</v>
      </c>
      <c r="L14" s="13"/>
      <c r="M14" s="27"/>
    </row>
    <row r="15" spans="1:13" x14ac:dyDescent="0.3">
      <c r="A15" s="125" t="s">
        <v>552</v>
      </c>
      <c r="B15" s="125">
        <v>42</v>
      </c>
      <c r="C15" s="26">
        <v>14</v>
      </c>
      <c r="D15" s="13">
        <v>14</v>
      </c>
      <c r="E15" s="523">
        <v>3</v>
      </c>
      <c r="F15" s="120">
        <f t="shared" si="1"/>
        <v>16.8</v>
      </c>
      <c r="G15" s="134">
        <f t="array" ref="G15">IF(E15=0,0,IF(E15=1,D15*$G$2,D15*$G$2*2))</f>
        <v>28</v>
      </c>
      <c r="H15" s="134">
        <f t="array" ref="H15">IF(E15&gt;2,D15*(E15-2)*$H$2,0)</f>
        <v>11.200000000000001</v>
      </c>
      <c r="I15" s="123">
        <f t="shared" si="2"/>
        <v>56</v>
      </c>
      <c r="J15" s="13" t="s">
        <v>30</v>
      </c>
      <c r="K15" s="1" t="s">
        <v>977</v>
      </c>
      <c r="L15" s="13"/>
      <c r="M15" s="27"/>
    </row>
    <row r="16" spans="1:13" x14ac:dyDescent="0.3">
      <c r="A16" s="125" t="s">
        <v>553</v>
      </c>
      <c r="B16" s="125">
        <v>0</v>
      </c>
      <c r="C16" s="26">
        <v>28</v>
      </c>
      <c r="D16" s="13">
        <v>28</v>
      </c>
      <c r="E16" s="523">
        <v>0</v>
      </c>
      <c r="F16" s="120">
        <f>IF(B16=0,0*C16*$F$2,C16*$F$2)</f>
        <v>0</v>
      </c>
      <c r="G16" s="134">
        <f t="array" ref="G16">IF(E16=0,0,IF(E16=1,D16*$G$2,D16*$G$2*2))</f>
        <v>0</v>
      </c>
      <c r="H16" s="134">
        <f t="array" ref="H16">IF(E16&gt;2,D16*(E16-2)*$H$2,0)</f>
        <v>0</v>
      </c>
      <c r="I16" s="123">
        <f>SUM(F16:H16)</f>
        <v>0</v>
      </c>
      <c r="J16" s="13" t="s">
        <v>30</v>
      </c>
      <c r="L16" s="13"/>
      <c r="M16" s="27"/>
    </row>
    <row r="17" spans="1:14" x14ac:dyDescent="0.3">
      <c r="A17" s="125" t="s">
        <v>554</v>
      </c>
      <c r="B17" s="125">
        <v>104</v>
      </c>
      <c r="C17" s="137">
        <v>14</v>
      </c>
      <c r="D17" s="137">
        <v>14</v>
      </c>
      <c r="E17" s="523">
        <v>6</v>
      </c>
      <c r="F17" s="120">
        <f t="shared" ref="F17:F18" si="3">IF(B17=0,0*C17*$F$2,C17*$F$2)</f>
        <v>16.8</v>
      </c>
      <c r="G17" s="134">
        <f t="array" ref="G17">IF(E17=0,0,IF(E17=1,D17*$G$2,D17*$G$2*2))</f>
        <v>28</v>
      </c>
      <c r="H17" s="134">
        <f t="array" ref="H17">IF(E17&gt;2,D17*(E17-2)*$H$2,0)</f>
        <v>44.800000000000004</v>
      </c>
      <c r="I17" s="123">
        <f>SUM(F17:H17)</f>
        <v>89.6</v>
      </c>
      <c r="J17" s="13" t="s">
        <v>30</v>
      </c>
      <c r="L17" s="13"/>
      <c r="M17" s="27"/>
    </row>
    <row r="18" spans="1:14" ht="16.2" thickBot="1" x14ac:dyDescent="0.35">
      <c r="A18" s="125" t="s">
        <v>555</v>
      </c>
      <c r="B18" s="125">
        <v>4</v>
      </c>
      <c r="C18" s="137">
        <v>7</v>
      </c>
      <c r="D18" s="137">
        <v>0</v>
      </c>
      <c r="E18" s="523">
        <v>1</v>
      </c>
      <c r="F18" s="120">
        <f t="shared" si="3"/>
        <v>8.4</v>
      </c>
      <c r="G18" s="134">
        <f t="array" ref="G18">IF(E18=0,0,IF(E18=1,D18*$G$2,D18*$G$2*2))</f>
        <v>0</v>
      </c>
      <c r="H18" s="134">
        <f t="array" ref="H18">IF(E18&gt;2,D18*(E18-2)*$H$2,0)</f>
        <v>0</v>
      </c>
      <c r="I18" s="123">
        <f t="shared" ref="I18" si="4">SUM(F18:H18)</f>
        <v>8.4</v>
      </c>
      <c r="J18" s="13" t="s">
        <v>30</v>
      </c>
      <c r="K18" s="1" t="s">
        <v>978</v>
      </c>
      <c r="L18" s="13"/>
      <c r="M18" s="27"/>
    </row>
    <row r="19" spans="1:14" ht="16.2" thickBot="1" x14ac:dyDescent="0.35">
      <c r="A19" s="19" t="s">
        <v>20</v>
      </c>
      <c r="B19" s="19"/>
      <c r="C19" s="26"/>
      <c r="D19" s="13"/>
      <c r="E19" s="26"/>
      <c r="F19" s="123"/>
      <c r="H19" s="123"/>
      <c r="I19" s="135">
        <f>SUM(I11:I18)</f>
        <v>551.6</v>
      </c>
      <c r="J19" s="13"/>
      <c r="K19" s="27"/>
      <c r="L19" s="13"/>
      <c r="M19" s="27"/>
    </row>
    <row r="20" spans="1:14" x14ac:dyDescent="0.3">
      <c r="A20" s="27" t="s">
        <v>556</v>
      </c>
      <c r="B20" s="27">
        <v>3</v>
      </c>
      <c r="C20" s="26">
        <v>28</v>
      </c>
      <c r="D20" s="13">
        <v>28</v>
      </c>
      <c r="E20" s="523">
        <v>1</v>
      </c>
      <c r="F20" s="120">
        <f t="shared" ref="F20:F36" si="5">IF(B20=0,0*C20*$F$2,C20*$F$2)</f>
        <v>33.6</v>
      </c>
      <c r="G20" s="134">
        <f t="array" ref="G20">IF(E20=0,0,IF(E20=1,D20*$G$2,D20*$G$2*2))</f>
        <v>28</v>
      </c>
      <c r="H20" s="134">
        <f t="array" ref="H20">IF(E20&gt;2,D20*(E20-2)*$H$2,0)</f>
        <v>0</v>
      </c>
      <c r="I20" s="123">
        <f>SUM(F20:H20)</f>
        <v>61.6</v>
      </c>
      <c r="J20" s="13" t="s">
        <v>30</v>
      </c>
      <c r="K20" s="27"/>
      <c r="L20" s="13"/>
      <c r="M20" s="27"/>
    </row>
    <row r="21" spans="1:14" x14ac:dyDescent="0.3">
      <c r="A21" s="27" t="s">
        <v>557</v>
      </c>
      <c r="B21" s="27">
        <v>37</v>
      </c>
      <c r="C21" s="26">
        <v>20</v>
      </c>
      <c r="D21" s="13">
        <v>20</v>
      </c>
      <c r="E21" s="523">
        <v>2</v>
      </c>
      <c r="F21" s="120">
        <f t="shared" si="5"/>
        <v>24</v>
      </c>
      <c r="G21" s="134">
        <f t="array" ref="G21">IF(E21=0,0,IF(E21=1,D21*$G$2,D21*$G$2*2))</f>
        <v>40</v>
      </c>
      <c r="H21" s="134">
        <f t="array" ref="H21">IF(E21&gt;2,D21*(E21-2)*$H$2,0)</f>
        <v>0</v>
      </c>
      <c r="I21" s="123">
        <f t="shared" ref="I21:I25" si="6">SUM(F21:H21)</f>
        <v>64</v>
      </c>
      <c r="J21" s="13" t="s">
        <v>30</v>
      </c>
      <c r="K21" s="27"/>
      <c r="L21" s="13"/>
      <c r="M21" s="27"/>
      <c r="N21" s="27"/>
    </row>
    <row r="22" spans="1:14" s="27" customFormat="1" x14ac:dyDescent="0.3">
      <c r="A22" s="27" t="s">
        <v>473</v>
      </c>
      <c r="B22" s="27">
        <v>3</v>
      </c>
      <c r="C22" s="26">
        <v>28</v>
      </c>
      <c r="D22" s="13">
        <v>28</v>
      </c>
      <c r="E22" s="523">
        <v>1</v>
      </c>
      <c r="F22" s="120">
        <f t="shared" si="5"/>
        <v>33.6</v>
      </c>
      <c r="G22" s="120">
        <f t="array" ref="G22">IF(E22=0,0,IF(E22=1,D22*$G$2,D22*$G$2*2))</f>
        <v>28</v>
      </c>
      <c r="H22" s="120">
        <f t="array" ref="H22">IF(E22&gt;2,D22*(E22-2)*$H$2,0)</f>
        <v>0</v>
      </c>
      <c r="I22" s="123">
        <f t="shared" si="6"/>
        <v>61.6</v>
      </c>
      <c r="J22" s="13" t="s">
        <v>30</v>
      </c>
      <c r="L22" s="13"/>
    </row>
    <row r="23" spans="1:14" x14ac:dyDescent="0.3">
      <c r="A23" s="27" t="s">
        <v>558</v>
      </c>
      <c r="B23" s="27">
        <v>20</v>
      </c>
      <c r="C23" s="26">
        <v>28</v>
      </c>
      <c r="D23" s="13">
        <v>28</v>
      </c>
      <c r="E23" s="523">
        <v>2</v>
      </c>
      <c r="F23" s="120">
        <f t="shared" si="5"/>
        <v>33.6</v>
      </c>
      <c r="G23" s="134">
        <f t="array" ref="G23">IF(E23=0,0,IF(E23=1,D23*$G$2,D23*$G$2*2))</f>
        <v>56</v>
      </c>
      <c r="H23" s="134">
        <f t="array" ref="H23">IF(E23&gt;2,D23*(E23-2)*$H$2,0)</f>
        <v>0</v>
      </c>
      <c r="I23" s="123">
        <f t="shared" si="6"/>
        <v>89.6</v>
      </c>
      <c r="J23" s="13" t="s">
        <v>30</v>
      </c>
      <c r="K23" s="27"/>
      <c r="L23" s="13"/>
      <c r="M23" s="27"/>
    </row>
    <row r="24" spans="1:14" x14ac:dyDescent="0.3">
      <c r="A24" s="27" t="s">
        <v>474</v>
      </c>
      <c r="B24" s="1036">
        <v>2</v>
      </c>
      <c r="C24" s="26">
        <v>28</v>
      </c>
      <c r="D24" s="13">
        <v>28</v>
      </c>
      <c r="E24" s="523">
        <v>1</v>
      </c>
      <c r="F24" s="120">
        <f t="shared" si="5"/>
        <v>33.6</v>
      </c>
      <c r="G24" s="134">
        <f t="array" ref="G24">IF(E24=0,0,IF(E24=1,D24*$G$2,D24*$G$2*2))</f>
        <v>28</v>
      </c>
      <c r="H24" s="134">
        <f t="array" ref="H24">IF(E24&gt;2,D24*(E24-2)*$H$2,0)</f>
        <v>0</v>
      </c>
      <c r="I24" s="123">
        <f t="shared" si="6"/>
        <v>61.6</v>
      </c>
      <c r="J24" s="13" t="s">
        <v>30</v>
      </c>
      <c r="K24" s="27"/>
      <c r="L24" s="13"/>
      <c r="M24" s="27"/>
    </row>
    <row r="25" spans="1:14" x14ac:dyDescent="0.3">
      <c r="A25" s="27" t="s">
        <v>559</v>
      </c>
      <c r="B25" s="1036">
        <v>1</v>
      </c>
      <c r="C25" s="26">
        <v>28</v>
      </c>
      <c r="D25" s="13">
        <v>28</v>
      </c>
      <c r="E25" s="523">
        <v>1</v>
      </c>
      <c r="F25" s="120">
        <f t="shared" si="5"/>
        <v>33.6</v>
      </c>
      <c r="G25" s="134">
        <f t="array" ref="G25">IF(E25=0,0,IF(E25=1,D25*$G$2,D25*$G$2*2))</f>
        <v>28</v>
      </c>
      <c r="H25" s="134">
        <f t="array" ref="H25">IF(E25&gt;2,D25*(E25-2)*$H$2,0)</f>
        <v>0</v>
      </c>
      <c r="I25" s="123">
        <f t="shared" si="6"/>
        <v>61.6</v>
      </c>
      <c r="J25" s="13" t="s">
        <v>30</v>
      </c>
      <c r="K25" s="27"/>
      <c r="L25" s="13"/>
      <c r="M25" s="27"/>
    </row>
    <row r="26" spans="1:14" x14ac:dyDescent="0.3">
      <c r="A26" s="27" t="s">
        <v>560</v>
      </c>
      <c r="B26" s="27">
        <v>38</v>
      </c>
      <c r="C26" s="26">
        <v>20</v>
      </c>
      <c r="D26" s="13">
        <v>20</v>
      </c>
      <c r="E26" s="523">
        <v>3</v>
      </c>
      <c r="F26" s="120">
        <f t="shared" si="5"/>
        <v>24</v>
      </c>
      <c r="G26" s="134">
        <f t="array" ref="G26">IF(E26=0,0,IF(E26=1,D26*$G$2,D26*$G$2*2))</f>
        <v>40</v>
      </c>
      <c r="H26" s="134">
        <f t="array" ref="H26">IF(E26&gt;2,D26*(E26-2)*$H$2,0)</f>
        <v>16</v>
      </c>
      <c r="I26" s="123">
        <f>SUM(F26:H26)</f>
        <v>80</v>
      </c>
      <c r="J26" s="13" t="s">
        <v>30</v>
      </c>
      <c r="K26" s="27"/>
      <c r="L26" s="13"/>
      <c r="M26" s="27"/>
    </row>
    <row r="27" spans="1:14" x14ac:dyDescent="0.3">
      <c r="A27" s="27" t="s">
        <v>561</v>
      </c>
      <c r="B27" s="27">
        <v>23</v>
      </c>
      <c r="C27" s="26">
        <v>28</v>
      </c>
      <c r="D27" s="13">
        <v>28</v>
      </c>
      <c r="E27" s="523">
        <v>1</v>
      </c>
      <c r="F27" s="120">
        <f t="shared" si="5"/>
        <v>33.6</v>
      </c>
      <c r="G27" s="134">
        <f t="array" ref="G27">IF(E27=0,0,IF(E27=1,D27*$G$2,D27*$G$2*2))</f>
        <v>28</v>
      </c>
      <c r="H27" s="134">
        <f t="array" ref="H27">IF(E27&gt;2,D27*(E27-2)*$H$2,0)</f>
        <v>0</v>
      </c>
      <c r="I27" s="123">
        <f t="shared" ref="I27" si="7">SUM(F27:H27)</f>
        <v>61.6</v>
      </c>
      <c r="J27" s="13" t="s">
        <v>30</v>
      </c>
      <c r="K27" s="27"/>
      <c r="L27" s="13"/>
      <c r="M27" s="27"/>
    </row>
    <row r="28" spans="1:14" x14ac:dyDescent="0.3">
      <c r="A28" s="27" t="s">
        <v>553</v>
      </c>
      <c r="B28" s="27">
        <v>0</v>
      </c>
      <c r="C28" s="26">
        <v>20</v>
      </c>
      <c r="D28" s="13">
        <v>20</v>
      </c>
      <c r="E28" s="523">
        <v>0</v>
      </c>
      <c r="F28" s="120">
        <f t="shared" si="5"/>
        <v>0</v>
      </c>
      <c r="G28" s="134">
        <f t="array" ref="G28">IF(E28=0,0,IF(E28=1,D28*$G$2,D28*$G$2*2))</f>
        <v>0</v>
      </c>
      <c r="H28" s="134">
        <f t="array" ref="H28">IF(E28&gt;2,D28*(E28-2)*$H$2,0)</f>
        <v>0</v>
      </c>
      <c r="I28" s="123">
        <f>SUM(F28:H28)</f>
        <v>0</v>
      </c>
      <c r="J28" s="13" t="s">
        <v>30</v>
      </c>
      <c r="K28" s="27"/>
      <c r="L28" s="13"/>
      <c r="M28" s="27"/>
    </row>
    <row r="29" spans="1:14" x14ac:dyDescent="0.3">
      <c r="A29" s="1039" t="s">
        <v>475</v>
      </c>
      <c r="B29" s="1039">
        <v>38</v>
      </c>
      <c r="C29" s="26">
        <v>20</v>
      </c>
      <c r="D29" s="13">
        <v>20</v>
      </c>
      <c r="E29" s="523">
        <v>2</v>
      </c>
      <c r="F29" s="120">
        <f t="shared" si="5"/>
        <v>24</v>
      </c>
      <c r="G29" s="134">
        <f t="array" ref="G29">IF(E29=0,0,IF(E29=1,D29*$G$2,D29*$G$2*2))</f>
        <v>40</v>
      </c>
      <c r="H29" s="134">
        <f t="array" ref="H29">IF(E29&gt;2,D29*(E29-2)*$H$2,0)</f>
        <v>0</v>
      </c>
      <c r="I29" s="123">
        <f t="shared" ref="I29:I36" si="8">SUM(F29:H29)</f>
        <v>64</v>
      </c>
      <c r="J29" s="13" t="s">
        <v>30</v>
      </c>
      <c r="K29" s="27"/>
      <c r="L29" s="13"/>
      <c r="M29" s="27"/>
      <c r="N29" s="27"/>
    </row>
    <row r="30" spans="1:14" x14ac:dyDescent="0.3">
      <c r="A30" s="1039" t="s">
        <v>562</v>
      </c>
      <c r="B30" s="1039">
        <v>7</v>
      </c>
      <c r="C30" s="26">
        <v>28</v>
      </c>
      <c r="D30" s="13">
        <v>56</v>
      </c>
      <c r="E30" s="523">
        <v>1</v>
      </c>
      <c r="F30" s="120">
        <f t="shared" si="5"/>
        <v>33.6</v>
      </c>
      <c r="G30" s="134">
        <f t="array" ref="G30">IF(E30=0,0,IF(E30=1,D30*$G$2,D30*$G$2*2))</f>
        <v>56</v>
      </c>
      <c r="H30" s="134">
        <f t="array" ref="H30">IF(E30&gt;2,D30*(E30-2)*$H$2,0)</f>
        <v>0</v>
      </c>
      <c r="I30" s="123">
        <f t="shared" si="8"/>
        <v>89.6</v>
      </c>
      <c r="J30" s="13" t="s">
        <v>30</v>
      </c>
      <c r="K30" s="27"/>
      <c r="L30" s="13"/>
      <c r="M30" s="27"/>
    </row>
    <row r="31" spans="1:14" x14ac:dyDescent="0.3">
      <c r="A31" s="125" t="s">
        <v>563</v>
      </c>
      <c r="B31" s="125">
        <v>44</v>
      </c>
      <c r="C31" s="26">
        <v>0</v>
      </c>
      <c r="D31" s="13">
        <v>20</v>
      </c>
      <c r="E31" s="523">
        <v>3</v>
      </c>
      <c r="F31" s="120">
        <f t="shared" si="5"/>
        <v>0</v>
      </c>
      <c r="G31" s="134">
        <f t="array" ref="G31">IF(E31=0,0,IF(E31=1,D31*$G$2,D31*$G$2*2))</f>
        <v>40</v>
      </c>
      <c r="H31" s="134">
        <f t="array" ref="H31">IF(E31&gt;2,D31*(E31-2)*$H$2,0)</f>
        <v>16</v>
      </c>
      <c r="I31" s="123">
        <f t="shared" si="8"/>
        <v>56</v>
      </c>
      <c r="J31" s="13" t="s">
        <v>30</v>
      </c>
      <c r="K31" s="27"/>
      <c r="L31" s="13"/>
      <c r="M31" s="27"/>
    </row>
    <row r="32" spans="1:14" x14ac:dyDescent="0.3">
      <c r="A32" s="125" t="s">
        <v>564</v>
      </c>
      <c r="B32" s="125">
        <v>32</v>
      </c>
      <c r="C32" s="26">
        <v>20</v>
      </c>
      <c r="D32" s="13">
        <v>20</v>
      </c>
      <c r="E32" s="523">
        <v>2</v>
      </c>
      <c r="F32" s="120">
        <f t="shared" si="5"/>
        <v>24</v>
      </c>
      <c r="G32" s="134">
        <f t="array" ref="G32">IF(E32=0,0,IF(E32=1,D32*$G$2,D32*$G$2*2))</f>
        <v>40</v>
      </c>
      <c r="H32" s="134">
        <f t="array" ref="H32">IF(E32&gt;2,D32*(E32-2)*$H$2,0)</f>
        <v>0</v>
      </c>
      <c r="I32" s="123">
        <f t="shared" si="8"/>
        <v>64</v>
      </c>
      <c r="J32" s="13" t="s">
        <v>30</v>
      </c>
      <c r="K32" s="27"/>
      <c r="L32" s="13"/>
      <c r="M32" s="27"/>
    </row>
    <row r="33" spans="1:14" x14ac:dyDescent="0.3">
      <c r="A33" s="125" t="s">
        <v>565</v>
      </c>
      <c r="B33" s="888">
        <v>2</v>
      </c>
      <c r="C33" s="26">
        <v>20</v>
      </c>
      <c r="D33" s="13">
        <v>20</v>
      </c>
      <c r="E33" s="523">
        <v>1</v>
      </c>
      <c r="F33" s="120">
        <f t="shared" si="5"/>
        <v>24</v>
      </c>
      <c r="G33" s="134">
        <f t="array" ref="G33">IF(E33=0,0,IF(E33=1,D33*$G$2,D33*$G$2*2))</f>
        <v>20</v>
      </c>
      <c r="H33" s="134">
        <f t="array" ref="H33">IF(E33&gt;2,D33*(E33-2)*$H$2,0)</f>
        <v>0</v>
      </c>
      <c r="I33" s="123">
        <f t="shared" si="8"/>
        <v>44</v>
      </c>
      <c r="J33" s="13" t="s">
        <v>30</v>
      </c>
      <c r="K33" s="27"/>
      <c r="L33" s="13"/>
      <c r="M33" s="27"/>
    </row>
    <row r="34" spans="1:14" x14ac:dyDescent="0.3">
      <c r="A34" s="125" t="s">
        <v>566</v>
      </c>
      <c r="B34" s="125">
        <v>21</v>
      </c>
      <c r="C34" s="26">
        <v>20</v>
      </c>
      <c r="D34" s="13">
        <v>20</v>
      </c>
      <c r="E34" s="523">
        <v>2</v>
      </c>
      <c r="F34" s="120">
        <f t="shared" si="5"/>
        <v>24</v>
      </c>
      <c r="G34" s="134">
        <f t="array" ref="G34">IF(E34=0,0,IF(E34=1,D34*$G$2,D34*$G$2*2))</f>
        <v>40</v>
      </c>
      <c r="H34" s="134">
        <f t="array" ref="H34">IF(E34&gt;2,D34*(E34-2)*$H$2,0)</f>
        <v>0</v>
      </c>
      <c r="I34" s="123">
        <f t="shared" si="8"/>
        <v>64</v>
      </c>
      <c r="J34" s="13" t="s">
        <v>30</v>
      </c>
      <c r="K34" s="1">
        <v>18.3</v>
      </c>
      <c r="L34" s="13"/>
      <c r="M34" s="27"/>
    </row>
    <row r="35" spans="1:14" x14ac:dyDescent="0.3">
      <c r="A35" s="125" t="s">
        <v>567</v>
      </c>
      <c r="B35" s="125">
        <v>38</v>
      </c>
      <c r="C35" s="26">
        <v>20</v>
      </c>
      <c r="D35" s="13">
        <v>20</v>
      </c>
      <c r="E35" s="523">
        <v>2</v>
      </c>
      <c r="F35" s="120">
        <f t="shared" si="5"/>
        <v>24</v>
      </c>
      <c r="G35" s="134">
        <f t="array" ref="G35">IF(E35=0,0,IF(E35=1,D35*$G$2,D35*$G$2*2))</f>
        <v>40</v>
      </c>
      <c r="H35" s="134">
        <f t="array" ref="H35">IF(E35&gt;2,D35*(E35-2)*$H$2,0)</f>
        <v>0</v>
      </c>
      <c r="I35" s="123">
        <f t="shared" si="8"/>
        <v>64</v>
      </c>
      <c r="J35" s="13" t="s">
        <v>30</v>
      </c>
      <c r="L35" s="13"/>
      <c r="M35" s="27"/>
    </row>
    <row r="36" spans="1:14" ht="16.2" thickBot="1" x14ac:dyDescent="0.35">
      <c r="A36" s="125" t="s">
        <v>568</v>
      </c>
      <c r="B36" s="125">
        <v>9</v>
      </c>
      <c r="C36" s="26">
        <v>14</v>
      </c>
      <c r="D36" s="13">
        <v>14</v>
      </c>
      <c r="E36" s="523">
        <v>1</v>
      </c>
      <c r="F36" s="120">
        <f t="shared" si="5"/>
        <v>16.8</v>
      </c>
      <c r="G36" s="134">
        <f t="array" ref="G36">IF(E36=0,0,IF(E36=1,D36*$G$2,D36*$G$2*2))</f>
        <v>14</v>
      </c>
      <c r="H36" s="134">
        <f t="array" ref="H36">IF(E36&gt;2,D36*(E36-2)*$H$2,0)</f>
        <v>0</v>
      </c>
      <c r="I36" s="123">
        <f t="shared" si="8"/>
        <v>30.8</v>
      </c>
      <c r="J36" s="13" t="s">
        <v>30</v>
      </c>
      <c r="K36" s="1">
        <v>5.4</v>
      </c>
      <c r="L36" s="13"/>
      <c r="M36" s="27"/>
    </row>
    <row r="37" spans="1:14" ht="16.2" thickBot="1" x14ac:dyDescent="0.35">
      <c r="A37" s="139"/>
      <c r="B37" s="139"/>
      <c r="C37" s="90"/>
      <c r="D37" s="138"/>
      <c r="E37" s="26"/>
      <c r="F37" s="120"/>
      <c r="G37" s="120"/>
      <c r="H37" s="120"/>
      <c r="I37" s="135">
        <f>SUM(I20:I36)</f>
        <v>1018</v>
      </c>
      <c r="J37" s="23"/>
      <c r="K37" s="27"/>
      <c r="L37" s="13"/>
      <c r="M37" s="27"/>
    </row>
    <row r="38" spans="1:14" ht="16.2" thickBot="1" x14ac:dyDescent="0.35">
      <c r="A38" s="19" t="s">
        <v>21</v>
      </c>
      <c r="B38" s="19"/>
      <c r="C38" s="84"/>
      <c r="D38" s="13"/>
      <c r="E38" s="26"/>
      <c r="F38" s="123"/>
      <c r="G38" s="123"/>
      <c r="H38" s="140" t="s">
        <v>135</v>
      </c>
      <c r="I38" s="135">
        <f>SUM(I37,I19,I10)</f>
        <v>1888.8</v>
      </c>
      <c r="J38" s="21"/>
      <c r="K38" s="27"/>
      <c r="L38" s="13"/>
      <c r="M38" s="27"/>
    </row>
    <row r="39" spans="1:14" s="27" customFormat="1" x14ac:dyDescent="0.3">
      <c r="A39" s="1039" t="s">
        <v>569</v>
      </c>
      <c r="B39" s="1039">
        <v>9</v>
      </c>
      <c r="C39" s="26">
        <v>28</v>
      </c>
      <c r="D39" s="13">
        <v>28</v>
      </c>
      <c r="E39" s="523">
        <v>1</v>
      </c>
      <c r="F39" s="120">
        <f t="shared" ref="F39:F48" si="9">IF(B39=0,0*C39*$F$2,C39*$F$2)</f>
        <v>33.6</v>
      </c>
      <c r="G39" s="141">
        <f t="array" ref="G39">IF(E39=0,0,IF(E39=1,D39*$G$3,D39*$G$3*2))</f>
        <v>28</v>
      </c>
      <c r="H39" s="141">
        <f t="array" ref="H39">IF(E39&gt;2,D39*(E39-2)*$H$3,0)</f>
        <v>0</v>
      </c>
      <c r="I39" s="123">
        <f t="shared" ref="I39:I45" si="10">SUM(F39:H39)</f>
        <v>61.6</v>
      </c>
      <c r="J39" s="20" t="s">
        <v>124</v>
      </c>
      <c r="L39" s="13"/>
    </row>
    <row r="40" spans="1:14" s="27" customFormat="1" x14ac:dyDescent="0.3">
      <c r="A40" s="1039" t="s">
        <v>570</v>
      </c>
      <c r="B40" s="1039">
        <v>9</v>
      </c>
      <c r="C40" s="26">
        <v>28</v>
      </c>
      <c r="D40" s="13">
        <v>28</v>
      </c>
      <c r="E40" s="523">
        <v>1</v>
      </c>
      <c r="F40" s="120">
        <f t="shared" si="9"/>
        <v>33.6</v>
      </c>
      <c r="G40" s="141">
        <f t="array" ref="G40">IF(E40=0,0,IF(E40=1,D40*$G$3,D40*$G$3*2))</f>
        <v>28</v>
      </c>
      <c r="H40" s="141">
        <f t="array" ref="H40">IF(E40&gt;2,D40*(E40-2)*$H$3,0)</f>
        <v>0</v>
      </c>
      <c r="I40" s="123">
        <f t="shared" si="10"/>
        <v>61.6</v>
      </c>
      <c r="J40" s="20" t="s">
        <v>124</v>
      </c>
      <c r="L40" s="13"/>
    </row>
    <row r="41" spans="1:14" s="27" customFormat="1" x14ac:dyDescent="0.3">
      <c r="A41" s="1039" t="s">
        <v>571</v>
      </c>
      <c r="B41" s="1039">
        <v>9</v>
      </c>
      <c r="C41" s="26">
        <v>14</v>
      </c>
      <c r="D41" s="13">
        <v>14</v>
      </c>
      <c r="E41" s="523">
        <v>1</v>
      </c>
      <c r="F41" s="120">
        <f t="shared" si="9"/>
        <v>16.8</v>
      </c>
      <c r="G41" s="141">
        <f t="array" ref="G41">IF(E41=0,0,IF(E41=1,D41*$G$3,D41*$G$3*2))</f>
        <v>14</v>
      </c>
      <c r="H41" s="141">
        <f t="array" ref="H41">IF(E41&gt;2,D41*(E41-2)*$H$3,0)</f>
        <v>0</v>
      </c>
      <c r="I41" s="123">
        <f t="shared" si="10"/>
        <v>30.8</v>
      </c>
      <c r="J41" s="20" t="s">
        <v>124</v>
      </c>
      <c r="L41" s="13"/>
    </row>
    <row r="42" spans="1:14" s="27" customFormat="1" x14ac:dyDescent="0.3">
      <c r="A42" s="142" t="s">
        <v>476</v>
      </c>
      <c r="B42" s="142">
        <v>4</v>
      </c>
      <c r="C42" s="26">
        <v>28</v>
      </c>
      <c r="D42" s="13">
        <v>28</v>
      </c>
      <c r="E42" s="523">
        <v>1</v>
      </c>
      <c r="F42" s="120">
        <f t="shared" si="9"/>
        <v>33.6</v>
      </c>
      <c r="G42" s="141">
        <f t="array" ref="G42">IF(E42=0,0,IF(E42=1,D42*$G$3,D42*$G$3*2))</f>
        <v>28</v>
      </c>
      <c r="H42" s="141">
        <f t="array" ref="H42">IF(E42&gt;2,D42*(E42-2)*$H$3,0)</f>
        <v>0</v>
      </c>
      <c r="I42" s="123">
        <f t="shared" si="10"/>
        <v>61.6</v>
      </c>
      <c r="J42" s="20" t="s">
        <v>124</v>
      </c>
      <c r="L42" s="13"/>
    </row>
    <row r="43" spans="1:14" s="27" customFormat="1" x14ac:dyDescent="0.3">
      <c r="A43" s="142" t="s">
        <v>572</v>
      </c>
      <c r="B43" s="142">
        <v>4</v>
      </c>
      <c r="C43" s="26">
        <v>28</v>
      </c>
      <c r="D43" s="13">
        <v>28</v>
      </c>
      <c r="E43" s="523">
        <v>1</v>
      </c>
      <c r="F43" s="120">
        <f t="shared" si="9"/>
        <v>33.6</v>
      </c>
      <c r="G43" s="141">
        <f t="array" ref="G43">IF(E43=0,0,IF(E43=1,D43*$G$3,D43*$G$3*2))</f>
        <v>28</v>
      </c>
      <c r="H43" s="141">
        <f t="array" ref="H43">IF(E43&gt;2,D43*(E43-2)*$H$3,0)</f>
        <v>0</v>
      </c>
      <c r="I43" s="123">
        <f t="shared" si="10"/>
        <v>61.6</v>
      </c>
      <c r="J43" s="20" t="s">
        <v>124</v>
      </c>
      <c r="L43" s="13"/>
    </row>
    <row r="44" spans="1:14" s="27" customFormat="1" x14ac:dyDescent="0.3">
      <c r="A44" s="142" t="s">
        <v>573</v>
      </c>
      <c r="B44" s="142">
        <v>10</v>
      </c>
      <c r="C44" s="26">
        <v>28</v>
      </c>
      <c r="D44" s="13">
        <v>28</v>
      </c>
      <c r="E44" s="523">
        <v>1</v>
      </c>
      <c r="F44" s="120">
        <f t="shared" si="9"/>
        <v>33.6</v>
      </c>
      <c r="G44" s="141">
        <f t="array" ref="G44">IF(E44=0,0,IF(E44=1,D44*$G$3,D44*$G$3*2))</f>
        <v>28</v>
      </c>
      <c r="H44" s="141">
        <f t="array" ref="H44">IF(E44&gt;2,D44*(E44-2)*$H$3,0)</f>
        <v>0</v>
      </c>
      <c r="I44" s="123">
        <f t="shared" si="10"/>
        <v>61.6</v>
      </c>
      <c r="J44" s="20" t="s">
        <v>124</v>
      </c>
      <c r="L44" s="13"/>
      <c r="N44" s="1"/>
    </row>
    <row r="45" spans="1:14" s="27" customFormat="1" x14ac:dyDescent="0.3">
      <c r="A45" s="142" t="s">
        <v>447</v>
      </c>
      <c r="B45" s="142">
        <v>5</v>
      </c>
      <c r="C45" s="26">
        <v>28</v>
      </c>
      <c r="D45" s="13">
        <v>28</v>
      </c>
      <c r="E45" s="523">
        <v>1</v>
      </c>
      <c r="F45" s="120">
        <f t="shared" si="9"/>
        <v>33.6</v>
      </c>
      <c r="G45" s="141">
        <f t="array" ref="G45">IF(E45=0,0,IF(E45=1,D45*$G$3,D45*$G$3*2))</f>
        <v>28</v>
      </c>
      <c r="H45" s="141">
        <f t="array" ref="H45">IF(E45&gt;2,D45*(E45-2)*$H$3,0)</f>
        <v>0</v>
      </c>
      <c r="I45" s="123">
        <f t="shared" si="10"/>
        <v>61.6</v>
      </c>
      <c r="J45" s="20" t="s">
        <v>124</v>
      </c>
      <c r="L45" s="13"/>
      <c r="N45" s="1"/>
    </row>
    <row r="46" spans="1:14" s="27" customFormat="1" x14ac:dyDescent="0.3">
      <c r="A46" s="142" t="s">
        <v>574</v>
      </c>
      <c r="B46" s="142">
        <v>29</v>
      </c>
      <c r="C46" s="26">
        <v>28</v>
      </c>
      <c r="D46" s="13">
        <v>28</v>
      </c>
      <c r="E46" s="523">
        <v>2</v>
      </c>
      <c r="F46" s="120">
        <f t="shared" si="9"/>
        <v>33.6</v>
      </c>
      <c r="G46" s="141">
        <f t="array" ref="G46">IF(E46=0,0,IF(E46=1,D46*$G$3,D46*$G$3*2))</f>
        <v>56</v>
      </c>
      <c r="H46" s="141">
        <f t="array" ref="H46">IF(E46&gt;2,D46*(E46-2)*$H$3,0)</f>
        <v>0</v>
      </c>
      <c r="I46" s="123">
        <f>SUM(F46:H46)</f>
        <v>89.6</v>
      </c>
      <c r="J46" s="20" t="s">
        <v>124</v>
      </c>
      <c r="K46" s="1" t="s">
        <v>979</v>
      </c>
      <c r="L46" s="13"/>
      <c r="N46" s="1"/>
    </row>
    <row r="47" spans="1:14" s="27" customFormat="1" x14ac:dyDescent="0.3">
      <c r="A47" s="142" t="s">
        <v>575</v>
      </c>
      <c r="B47" s="142">
        <v>9</v>
      </c>
      <c r="C47" s="26">
        <v>28</v>
      </c>
      <c r="D47" s="13">
        <v>28</v>
      </c>
      <c r="E47" s="523">
        <v>1</v>
      </c>
      <c r="F47" s="120">
        <f t="shared" si="9"/>
        <v>33.6</v>
      </c>
      <c r="G47" s="141">
        <f t="array" ref="G47">IF(E47=0,0,IF(E47=1,D47*$G$3,D47*$G$3*2))</f>
        <v>28</v>
      </c>
      <c r="H47" s="141">
        <f t="array" ref="H47">IF(E47&gt;2,D47*(E47-2)*$H$3,0)</f>
        <v>0</v>
      </c>
      <c r="I47" s="123">
        <f t="shared" ref="I47:I48" si="11">SUM(F47:H47)</f>
        <v>61.6</v>
      </c>
      <c r="J47" s="20" t="s">
        <v>124</v>
      </c>
      <c r="K47" s="1" t="s">
        <v>980</v>
      </c>
      <c r="L47" s="13"/>
      <c r="N47" s="1"/>
    </row>
    <row r="48" spans="1:14" s="27" customFormat="1" x14ac:dyDescent="0.3">
      <c r="A48" s="142" t="s">
        <v>576</v>
      </c>
      <c r="B48" s="142">
        <v>9</v>
      </c>
      <c r="C48" s="26">
        <v>14</v>
      </c>
      <c r="D48" s="13">
        <v>0</v>
      </c>
      <c r="E48" s="523">
        <v>0</v>
      </c>
      <c r="F48" s="120">
        <f t="shared" si="9"/>
        <v>16.8</v>
      </c>
      <c r="G48" s="141">
        <f t="array" ref="G48">IF(E48=0,0,IF(E48=1,D48*$G$3,D48*$G$3*2))</f>
        <v>0</v>
      </c>
      <c r="H48" s="141">
        <f t="array" ref="H48">IF(E48&gt;2,D48*(E48-2)*$H$3,0)</f>
        <v>0</v>
      </c>
      <c r="I48" s="123">
        <f t="shared" si="11"/>
        <v>16.8</v>
      </c>
      <c r="J48" s="20" t="s">
        <v>124</v>
      </c>
      <c r="K48" s="1"/>
      <c r="L48" s="13"/>
      <c r="N48" s="1"/>
    </row>
    <row r="49" spans="1:14" s="27" customFormat="1" ht="16.2" thickBot="1" x14ac:dyDescent="0.35">
      <c r="A49" s="142" t="s">
        <v>582</v>
      </c>
      <c r="B49" s="142">
        <v>7</v>
      </c>
      <c r="C49" s="26">
        <v>28</v>
      </c>
      <c r="D49" s="13">
        <v>28</v>
      </c>
      <c r="E49" s="523">
        <v>1</v>
      </c>
      <c r="F49" s="120">
        <f>IF(B49=0,0*C49*$F$2,C49*$F$2)</f>
        <v>33.6</v>
      </c>
      <c r="G49" s="141">
        <f t="array" ref="G49">IF(E49=0,0,IF(E49=1,D49*$G$3,D49*$G$3*2))</f>
        <v>28</v>
      </c>
      <c r="H49" s="141">
        <f t="array" ref="H49">IF(E49&gt;2,D49*(E49-2)*$H$3,0)</f>
        <v>0</v>
      </c>
      <c r="I49" s="123">
        <f>SUM(F49:H49)</f>
        <v>61.6</v>
      </c>
      <c r="J49" s="20" t="s">
        <v>124</v>
      </c>
      <c r="K49" s="1" t="s">
        <v>583</v>
      </c>
      <c r="L49" s="13"/>
      <c r="N49" s="1"/>
    </row>
    <row r="50" spans="1:14" ht="16.2" thickBot="1" x14ac:dyDescent="0.35">
      <c r="A50" s="19" t="s">
        <v>22</v>
      </c>
      <c r="B50" s="19"/>
      <c r="C50" s="26"/>
      <c r="D50" s="13"/>
      <c r="E50" s="26"/>
      <c r="F50" s="120"/>
      <c r="I50" s="135">
        <f>SUM(I39:I49)</f>
        <v>630</v>
      </c>
      <c r="J50" s="20"/>
      <c r="K50" s="27"/>
      <c r="L50" s="13"/>
      <c r="M50" s="27"/>
    </row>
    <row r="51" spans="1:14" x14ac:dyDescent="0.3">
      <c r="A51" s="27" t="s">
        <v>577</v>
      </c>
      <c r="B51" s="27">
        <v>41</v>
      </c>
      <c r="C51" s="26">
        <v>28</v>
      </c>
      <c r="D51" s="13">
        <v>28</v>
      </c>
      <c r="E51" s="523">
        <v>2</v>
      </c>
      <c r="F51" s="120">
        <f t="shared" ref="F51:F60" si="12">IF(B51=0,0*C51*$F$2,C51*$F$2)</f>
        <v>33.6</v>
      </c>
      <c r="G51" s="141">
        <f t="array" ref="G51">IF(E51=0,0,IF(E51=1,D51*$G$3,D51*$G$3*2))</f>
        <v>56</v>
      </c>
      <c r="H51" s="141">
        <f t="array" ref="H51">IF(E51&gt;2,D51*(E51-2)*$H$3,0)</f>
        <v>0</v>
      </c>
      <c r="I51" s="123">
        <f t="shared" ref="I51:I54" si="13">SUM(F51:H51)</f>
        <v>89.6</v>
      </c>
      <c r="J51" s="20" t="s">
        <v>124</v>
      </c>
      <c r="K51" s="27"/>
      <c r="L51" s="13"/>
      <c r="M51" s="27"/>
    </row>
    <row r="52" spans="1:14" x14ac:dyDescent="0.3">
      <c r="A52" s="27" t="s">
        <v>477</v>
      </c>
      <c r="B52" s="27">
        <v>7</v>
      </c>
      <c r="C52" s="26">
        <v>28</v>
      </c>
      <c r="D52" s="13">
        <v>28</v>
      </c>
      <c r="E52" s="523">
        <v>1</v>
      </c>
      <c r="F52" s="120">
        <f t="shared" si="12"/>
        <v>33.6</v>
      </c>
      <c r="G52" s="141">
        <f t="array" ref="G52">IF(E52=0,0,IF(E52=1,D52*$G$3,D52*$G$3*2))</f>
        <v>28</v>
      </c>
      <c r="H52" s="141">
        <f t="array" ref="H52">IF(E52&gt;2,D52*(E52-2)*$H$3,0)</f>
        <v>0</v>
      </c>
      <c r="I52" s="123">
        <f t="shared" si="13"/>
        <v>61.6</v>
      </c>
      <c r="J52" s="20" t="s">
        <v>124</v>
      </c>
      <c r="K52" s="27"/>
      <c r="L52" s="13"/>
      <c r="M52" s="27"/>
    </row>
    <row r="53" spans="1:14" x14ac:dyDescent="0.3">
      <c r="A53" s="27" t="s">
        <v>578</v>
      </c>
      <c r="B53" s="27">
        <v>8</v>
      </c>
      <c r="C53" s="26">
        <v>28</v>
      </c>
      <c r="D53" s="13">
        <v>28</v>
      </c>
      <c r="E53" s="523">
        <v>1</v>
      </c>
      <c r="F53" s="120">
        <f t="shared" si="12"/>
        <v>33.6</v>
      </c>
      <c r="G53" s="141">
        <f t="array" ref="G53">IF(E53=0,0,IF(E53=1,D53*$G$3,D53*$G$3*2))</f>
        <v>28</v>
      </c>
      <c r="H53" s="141">
        <f t="array" ref="H53">IF(E53&gt;2,D53*(E53-2)*$H$3,0)</f>
        <v>0</v>
      </c>
      <c r="I53" s="123">
        <f t="shared" si="13"/>
        <v>61.6</v>
      </c>
      <c r="J53" s="20" t="s">
        <v>124</v>
      </c>
      <c r="K53" s="27"/>
      <c r="L53" s="13"/>
      <c r="M53" s="27"/>
    </row>
    <row r="54" spans="1:14" x14ac:dyDescent="0.3">
      <c r="A54" s="27" t="s">
        <v>579</v>
      </c>
      <c r="B54" s="27">
        <v>21</v>
      </c>
      <c r="C54" s="26">
        <v>28</v>
      </c>
      <c r="D54" s="13">
        <v>28</v>
      </c>
      <c r="E54" s="523">
        <v>1</v>
      </c>
      <c r="F54" s="120">
        <f t="shared" si="12"/>
        <v>33.6</v>
      </c>
      <c r="G54" s="141">
        <f t="array" ref="G54">IF(E54=0,0,IF(E54=1,D54*$G$3,D54*$G$3*2))</f>
        <v>28</v>
      </c>
      <c r="H54" s="141">
        <f t="array" ref="H54">IF(E54&gt;2,D54*(E54-2)*$H$3,0)</f>
        <v>0</v>
      </c>
      <c r="I54" s="123">
        <f t="shared" si="13"/>
        <v>61.6</v>
      </c>
      <c r="J54" s="20" t="s">
        <v>124</v>
      </c>
      <c r="K54" s="27"/>
      <c r="L54" s="13"/>
      <c r="M54" s="27"/>
    </row>
    <row r="55" spans="1:14" x14ac:dyDescent="0.3">
      <c r="A55" s="27" t="s">
        <v>580</v>
      </c>
      <c r="B55" s="27">
        <v>3</v>
      </c>
      <c r="C55" s="26">
        <v>28</v>
      </c>
      <c r="D55" s="13">
        <v>28</v>
      </c>
      <c r="E55" s="523">
        <v>1</v>
      </c>
      <c r="F55" s="120">
        <f t="shared" si="12"/>
        <v>33.6</v>
      </c>
      <c r="G55" s="141">
        <f t="array" ref="G55">IF(E55=0,0,IF(E55=1,D55*$G$3,D55*$G$3*2))</f>
        <v>28</v>
      </c>
      <c r="H55" s="141">
        <f t="array" ref="H55">IF(E55&gt;2,D55*(E55-2)*$H$3,0)</f>
        <v>0</v>
      </c>
      <c r="I55" s="123">
        <f>SUM(F55:H55)</f>
        <v>61.6</v>
      </c>
      <c r="J55" s="20" t="s">
        <v>124</v>
      </c>
      <c r="K55" s="27"/>
      <c r="L55" s="13"/>
      <c r="M55" s="27"/>
    </row>
    <row r="56" spans="1:14" x14ac:dyDescent="0.3">
      <c r="A56" s="19" t="s">
        <v>581</v>
      </c>
      <c r="B56" s="27">
        <v>0</v>
      </c>
      <c r="C56" s="26">
        <v>28</v>
      </c>
      <c r="D56" s="13">
        <v>28</v>
      </c>
      <c r="E56" s="523">
        <v>0</v>
      </c>
      <c r="F56" s="120">
        <f t="shared" si="12"/>
        <v>0</v>
      </c>
      <c r="G56" s="141">
        <f t="array" ref="G56">IF(E56=0,0,IF(E56=1,D56*$G$3,D56*$G$3*2))</f>
        <v>0</v>
      </c>
      <c r="H56" s="141">
        <f t="array" ref="H56">IF(E56&gt;2,D56*(E56-2)*$H$3,0)</f>
        <v>0</v>
      </c>
      <c r="I56" s="123">
        <f>SUM(F56:H56)</f>
        <v>0</v>
      </c>
      <c r="J56" s="20" t="s">
        <v>124</v>
      </c>
      <c r="K56" s="1" t="s">
        <v>981</v>
      </c>
      <c r="L56" s="13"/>
      <c r="M56" s="27"/>
      <c r="N56" s="27"/>
    </row>
    <row r="57" spans="1:14" x14ac:dyDescent="0.3">
      <c r="A57" s="19" t="s">
        <v>478</v>
      </c>
      <c r="B57" s="27">
        <v>9</v>
      </c>
      <c r="C57" s="26">
        <v>28</v>
      </c>
      <c r="D57" s="13">
        <v>14</v>
      </c>
      <c r="E57" s="523">
        <v>1</v>
      </c>
      <c r="F57" s="120">
        <f t="shared" si="12"/>
        <v>33.6</v>
      </c>
      <c r="G57" s="141">
        <f t="array" ref="G57">IF(E57=0,0,IF(E57=1,D57*$G$3,D57*$G$3*2))</f>
        <v>14</v>
      </c>
      <c r="H57" s="141">
        <f t="array" ref="H57">IF(E57&gt;2,D57*(E57-2)*$H$3,0)</f>
        <v>0</v>
      </c>
      <c r="I57" s="123">
        <f>SUM(F57:H57)</f>
        <v>47.6</v>
      </c>
      <c r="J57" s="20" t="s">
        <v>124</v>
      </c>
      <c r="L57" s="13"/>
      <c r="M57" s="27"/>
      <c r="N57" s="27"/>
    </row>
    <row r="58" spans="1:14" x14ac:dyDescent="0.3">
      <c r="A58" s="125" t="s">
        <v>584</v>
      </c>
      <c r="B58" s="136">
        <v>7</v>
      </c>
      <c r="C58" s="26">
        <v>20</v>
      </c>
      <c r="D58" s="13">
        <v>20</v>
      </c>
      <c r="E58" s="523">
        <v>1</v>
      </c>
      <c r="F58" s="120">
        <f t="shared" si="12"/>
        <v>24</v>
      </c>
      <c r="G58" s="141">
        <f t="array" ref="G58">IF(E58=0,0,IF(E58=1,D58*$G$3,D58*$G$3*2))</f>
        <v>20</v>
      </c>
      <c r="H58" s="141">
        <f t="array" ref="H58">IF(E58&gt;2,D58*(E58-2)*$H$3,0)</f>
        <v>0</v>
      </c>
      <c r="I58" s="123">
        <f t="shared" ref="I58" si="14">SUM(F58:H58)</f>
        <v>44</v>
      </c>
      <c r="J58" s="20" t="s">
        <v>124</v>
      </c>
      <c r="L58" s="138"/>
      <c r="M58" s="27"/>
    </row>
    <row r="59" spans="1:14" s="27" customFormat="1" x14ac:dyDescent="0.3">
      <c r="A59" s="125" t="s">
        <v>585</v>
      </c>
      <c r="B59" s="125">
        <v>7</v>
      </c>
      <c r="C59" s="26">
        <v>20</v>
      </c>
      <c r="D59" s="13">
        <v>20</v>
      </c>
      <c r="E59" s="523">
        <v>1</v>
      </c>
      <c r="F59" s="120">
        <f t="shared" si="12"/>
        <v>24</v>
      </c>
      <c r="G59" s="141">
        <f t="array" ref="G59">IF(E59=0,0,IF(E59=1,D59*$G$3,D59*$G$3*2))</f>
        <v>20</v>
      </c>
      <c r="H59" s="141">
        <f t="array" ref="H59">IF(E59&gt;2,D59*(E59-2)*$H$3,0)</f>
        <v>0</v>
      </c>
      <c r="I59" s="123">
        <f>SUM(F59:H59)</f>
        <v>44</v>
      </c>
      <c r="J59" s="20" t="s">
        <v>124</v>
      </c>
      <c r="K59" s="1"/>
      <c r="L59" s="22"/>
      <c r="N59" s="1"/>
    </row>
    <row r="60" spans="1:14" s="27" customFormat="1" ht="16.2" thickBot="1" x14ac:dyDescent="0.35">
      <c r="A60" s="125" t="s">
        <v>586</v>
      </c>
      <c r="B60" s="1035">
        <v>1</v>
      </c>
      <c r="C60" s="26">
        <v>20</v>
      </c>
      <c r="D60" s="13">
        <v>20</v>
      </c>
      <c r="E60" s="523">
        <v>1</v>
      </c>
      <c r="F60" s="120">
        <f t="shared" si="12"/>
        <v>24</v>
      </c>
      <c r="G60" s="141">
        <f t="array" ref="G60">IF(E60=0,0,IF(E60=1,D60*$G$3,D60*$G$3*2))</f>
        <v>20</v>
      </c>
      <c r="H60" s="141">
        <f t="array" ref="H60">IF(E60&gt;2,D60*(E60-2)*$H$3,0)</f>
        <v>0</v>
      </c>
      <c r="I60" s="123">
        <f t="shared" ref="I60" si="15">SUM(F60:H60)</f>
        <v>44</v>
      </c>
      <c r="J60" s="20" t="s">
        <v>124</v>
      </c>
      <c r="K60" s="1" t="s">
        <v>982</v>
      </c>
      <c r="L60" s="22"/>
      <c r="N60" s="1"/>
    </row>
    <row r="61" spans="1:14" s="27" customFormat="1" ht="16.2" thickBot="1" x14ac:dyDescent="0.35">
      <c r="C61" s="90"/>
      <c r="D61" s="90"/>
      <c r="E61" s="26"/>
      <c r="F61" s="120"/>
      <c r="G61" s="120"/>
      <c r="H61" s="120"/>
      <c r="I61" s="135">
        <f>SUM(I51:I60)</f>
        <v>515.6</v>
      </c>
      <c r="J61" s="23"/>
      <c r="L61" s="13"/>
    </row>
    <row r="62" spans="1:14" s="27" customFormat="1" ht="16.2" thickBot="1" x14ac:dyDescent="0.35">
      <c r="A62" s="51"/>
      <c r="B62" s="51"/>
      <c r="C62" s="47"/>
      <c r="D62" s="13"/>
      <c r="E62" s="26"/>
      <c r="F62" s="120"/>
      <c r="G62" s="120"/>
      <c r="H62" s="140" t="s">
        <v>136</v>
      </c>
      <c r="I62" s="135">
        <f>SUM(I61,I50)</f>
        <v>1145.5999999999999</v>
      </c>
      <c r="J62" s="21"/>
      <c r="L62" s="13"/>
    </row>
    <row r="63" spans="1:14" s="27" customFormat="1" x14ac:dyDescent="0.3">
      <c r="A63" s="51"/>
      <c r="B63" s="51"/>
      <c r="C63" s="47"/>
      <c r="D63" s="13"/>
      <c r="E63" s="26"/>
      <c r="F63" s="120"/>
      <c r="G63" s="120"/>
      <c r="H63" s="120"/>
      <c r="I63" s="89"/>
      <c r="J63" s="21"/>
      <c r="L63" s="13"/>
    </row>
    <row r="64" spans="1:14" s="27" customFormat="1" ht="62.4" x14ac:dyDescent="0.3">
      <c r="A64" s="128" t="s">
        <v>2</v>
      </c>
      <c r="B64" s="128"/>
      <c r="C64" s="129" t="s">
        <v>42</v>
      </c>
      <c r="D64" s="130" t="s">
        <v>43</v>
      </c>
      <c r="E64" s="131" t="s">
        <v>41</v>
      </c>
      <c r="F64" s="132" t="s">
        <v>23</v>
      </c>
      <c r="G64" s="132" t="s">
        <v>10</v>
      </c>
      <c r="H64" s="132" t="s">
        <v>11</v>
      </c>
      <c r="I64" s="132" t="s">
        <v>7</v>
      </c>
      <c r="J64" s="21"/>
      <c r="L64" s="13"/>
    </row>
    <row r="65" spans="1:14" s="27" customFormat="1" x14ac:dyDescent="0.3">
      <c r="A65" s="19" t="s">
        <v>18</v>
      </c>
      <c r="B65" s="19"/>
      <c r="C65" s="84"/>
      <c r="D65" s="138"/>
      <c r="E65" s="122"/>
      <c r="F65" s="26"/>
      <c r="G65" s="26"/>
      <c r="H65" s="26"/>
      <c r="I65" s="120"/>
      <c r="J65" s="21"/>
      <c r="L65" s="13"/>
    </row>
    <row r="66" spans="1:14" s="27" customFormat="1" x14ac:dyDescent="0.3">
      <c r="A66" s="27" t="s">
        <v>587</v>
      </c>
      <c r="B66" s="27">
        <v>69</v>
      </c>
      <c r="C66" s="26">
        <v>42</v>
      </c>
      <c r="D66" s="13">
        <v>56</v>
      </c>
      <c r="E66" s="523">
        <v>4</v>
      </c>
      <c r="F66" s="120">
        <f t="shared" ref="F66:F81" si="16">IF(B66=0,0*C66*$F$2,C66*$F$2)</f>
        <v>50.4</v>
      </c>
      <c r="G66" s="134">
        <f t="array" ref="G66">IF(E66=0,0,IF(E66=1,D66*$G$2,D66*$G$2*2))</f>
        <v>112</v>
      </c>
      <c r="H66" s="134">
        <f t="array" ref="H66">IF(E66&gt;2,D66*(E66-2)*$H$2,0)</f>
        <v>89.600000000000009</v>
      </c>
      <c r="I66" s="123">
        <f t="shared" ref="I66:I79" si="17">SUM(F66:H66)</f>
        <v>252</v>
      </c>
      <c r="J66" s="13" t="s">
        <v>30</v>
      </c>
      <c r="L66" s="13"/>
    </row>
    <row r="67" spans="1:14" s="27" customFormat="1" x14ac:dyDescent="0.3">
      <c r="A67" s="27" t="s">
        <v>588</v>
      </c>
      <c r="B67" s="27">
        <v>42</v>
      </c>
      <c r="C67" s="26">
        <v>28</v>
      </c>
      <c r="D67" s="13">
        <v>28</v>
      </c>
      <c r="E67" s="523">
        <v>3</v>
      </c>
      <c r="F67" s="120">
        <f t="shared" si="16"/>
        <v>33.6</v>
      </c>
      <c r="G67" s="134">
        <f t="array" ref="G67">IF(E67=0,0,IF(E67=1,D67*$G$2,D67*$G$2*2))</f>
        <v>56</v>
      </c>
      <c r="H67" s="134">
        <f t="array" ref="H67">IF(E67&gt;2,D67*(E67-2)*$H$2,0)</f>
        <v>22.400000000000002</v>
      </c>
      <c r="I67" s="123">
        <f t="shared" si="17"/>
        <v>112</v>
      </c>
      <c r="J67" s="13" t="s">
        <v>30</v>
      </c>
      <c r="L67" s="13"/>
    </row>
    <row r="68" spans="1:14" s="27" customFormat="1" x14ac:dyDescent="0.3">
      <c r="A68" s="27" t="s">
        <v>589</v>
      </c>
      <c r="B68" s="27">
        <v>4</v>
      </c>
      <c r="C68" s="26">
        <v>28</v>
      </c>
      <c r="D68" s="13">
        <v>28</v>
      </c>
      <c r="E68" s="523">
        <v>1</v>
      </c>
      <c r="F68" s="120">
        <f t="shared" si="16"/>
        <v>33.6</v>
      </c>
      <c r="G68" s="134">
        <f t="array" ref="G68">IF(E68=0,0,IF(E68=1,D68*$G$2,D68*$G$2*2))</f>
        <v>28</v>
      </c>
      <c r="H68" s="134">
        <f t="array" ref="H68">IF(E68&gt;2,D68*(E68-2)*$H$2,0)</f>
        <v>0</v>
      </c>
      <c r="I68" s="123">
        <f t="shared" si="17"/>
        <v>61.6</v>
      </c>
      <c r="J68" s="13" t="s">
        <v>30</v>
      </c>
      <c r="L68" s="13"/>
    </row>
    <row r="69" spans="1:14" s="27" customFormat="1" x14ac:dyDescent="0.3">
      <c r="A69" s="27" t="s">
        <v>590</v>
      </c>
      <c r="B69" s="27">
        <v>45</v>
      </c>
      <c r="C69" s="26">
        <v>28</v>
      </c>
      <c r="D69" s="13">
        <v>56</v>
      </c>
      <c r="E69" s="523">
        <v>3</v>
      </c>
      <c r="F69" s="120">
        <f t="shared" si="16"/>
        <v>33.6</v>
      </c>
      <c r="G69" s="134">
        <f t="array" ref="G69">IF(E69=0,0,IF(E69=1,D69*$G$2,D69*$G$2*2))</f>
        <v>112</v>
      </c>
      <c r="H69" s="134">
        <f t="array" ref="H69">IF(E69&gt;2,D69*(E69-2)*$H$2,0)</f>
        <v>44.800000000000004</v>
      </c>
      <c r="I69" s="123">
        <f t="shared" si="17"/>
        <v>190.4</v>
      </c>
      <c r="J69" s="13" t="s">
        <v>30</v>
      </c>
      <c r="L69" s="13"/>
    </row>
    <row r="70" spans="1:14" s="27" customFormat="1" x14ac:dyDescent="0.3">
      <c r="A70" s="27" t="s">
        <v>591</v>
      </c>
      <c r="B70" s="27">
        <v>4</v>
      </c>
      <c r="C70" s="26">
        <v>0</v>
      </c>
      <c r="D70" s="13">
        <v>28</v>
      </c>
      <c r="E70" s="523">
        <v>1</v>
      </c>
      <c r="F70" s="120">
        <f t="shared" si="16"/>
        <v>0</v>
      </c>
      <c r="G70" s="134">
        <f t="array" ref="G70">IF(E70=0,0,IF(E70=1,D70*$G$2,D70*$G$2*2))</f>
        <v>28</v>
      </c>
      <c r="H70" s="134">
        <f t="array" ref="H70">IF(E70&gt;2,D70*(E70-2)*$H$2,0)</f>
        <v>0</v>
      </c>
      <c r="I70" s="123">
        <f t="shared" si="17"/>
        <v>28</v>
      </c>
      <c r="J70" s="13" t="s">
        <v>30</v>
      </c>
      <c r="L70" s="13"/>
    </row>
    <row r="71" spans="1:14" s="27" customFormat="1" x14ac:dyDescent="0.3">
      <c r="A71" s="27" t="s">
        <v>592</v>
      </c>
      <c r="B71" s="27">
        <v>106</v>
      </c>
      <c r="C71" s="26">
        <v>28</v>
      </c>
      <c r="D71" s="13">
        <v>0</v>
      </c>
      <c r="E71" s="523">
        <v>0</v>
      </c>
      <c r="F71" s="120">
        <f t="shared" si="16"/>
        <v>33.6</v>
      </c>
      <c r="G71" s="134">
        <f t="array" ref="G71">IF(E71=0,0,IF(E71=1,D71*$G$2,D71*$G$2*2))</f>
        <v>0</v>
      </c>
      <c r="H71" s="134">
        <f t="array" ref="H71">IF(E71&gt;2,D71*(E71-2)*$H$2,0)</f>
        <v>0</v>
      </c>
      <c r="I71" s="123">
        <f t="shared" si="17"/>
        <v>33.6</v>
      </c>
      <c r="J71" s="13" t="s">
        <v>30</v>
      </c>
      <c r="K71" s="1" t="s">
        <v>983</v>
      </c>
      <c r="L71" s="13"/>
    </row>
    <row r="72" spans="1:14" s="27" customFormat="1" x14ac:dyDescent="0.3">
      <c r="A72" s="27" t="s">
        <v>479</v>
      </c>
      <c r="B72" s="27">
        <v>3</v>
      </c>
      <c r="C72" s="26">
        <v>6</v>
      </c>
      <c r="D72" s="13">
        <v>2</v>
      </c>
      <c r="E72" s="523">
        <v>1</v>
      </c>
      <c r="F72" s="120">
        <f t="shared" si="16"/>
        <v>7.1999999999999993</v>
      </c>
      <c r="G72" s="134">
        <f t="array" ref="G72">IF(E72=0,0,IF(E72=1,D72*$G$2,D72*$G$2*2))</f>
        <v>2</v>
      </c>
      <c r="H72" s="134">
        <f t="array" ref="H72">IF(E72&gt;2,D72*(E72-2)*$H$2,0)</f>
        <v>0</v>
      </c>
      <c r="I72" s="89">
        <f t="shared" si="17"/>
        <v>9.1999999999999993</v>
      </c>
      <c r="J72" s="13" t="s">
        <v>30</v>
      </c>
      <c r="K72" s="5" t="s">
        <v>448</v>
      </c>
      <c r="L72" s="13"/>
      <c r="M72" s="1"/>
      <c r="N72" s="1"/>
    </row>
    <row r="73" spans="1:14" s="27" customFormat="1" x14ac:dyDescent="0.3">
      <c r="A73" s="125" t="s">
        <v>593</v>
      </c>
      <c r="B73" s="125">
        <v>57</v>
      </c>
      <c r="C73" s="26">
        <v>42</v>
      </c>
      <c r="D73" s="13">
        <v>56</v>
      </c>
      <c r="E73" s="523">
        <v>4</v>
      </c>
      <c r="F73" s="120">
        <f t="shared" si="16"/>
        <v>50.4</v>
      </c>
      <c r="G73" s="134">
        <f t="array" ref="G73">IF(E73=0,0,IF(E73=1,D73*$G$2,D73*$G$2*2))</f>
        <v>112</v>
      </c>
      <c r="H73" s="134">
        <f t="array" ref="H73">IF(E73&gt;2,D73*(E73-2)*$H$2,0)</f>
        <v>89.600000000000009</v>
      </c>
      <c r="I73" s="123">
        <f t="shared" si="17"/>
        <v>252</v>
      </c>
      <c r="J73" s="13" t="s">
        <v>30</v>
      </c>
      <c r="L73" s="13"/>
    </row>
    <row r="74" spans="1:14" s="27" customFormat="1" x14ac:dyDescent="0.3">
      <c r="A74" s="125" t="s">
        <v>594</v>
      </c>
      <c r="B74" s="125">
        <v>34</v>
      </c>
      <c r="C74" s="26">
        <v>28</v>
      </c>
      <c r="D74" s="13">
        <v>28</v>
      </c>
      <c r="E74" s="523">
        <v>3</v>
      </c>
      <c r="F74" s="120">
        <f t="shared" si="16"/>
        <v>33.6</v>
      </c>
      <c r="G74" s="134">
        <f t="array" ref="G74">IF(E74=0,0,IF(E74=1,D74*$G$2,D74*$G$2*2))</f>
        <v>56</v>
      </c>
      <c r="H74" s="134">
        <f t="array" ref="H74">IF(E74&gt;2,D74*(E74-2)*$H$2,0)</f>
        <v>22.400000000000002</v>
      </c>
      <c r="I74" s="123">
        <f t="shared" si="17"/>
        <v>112</v>
      </c>
      <c r="J74" s="13" t="s">
        <v>30</v>
      </c>
      <c r="L74" s="13"/>
    </row>
    <row r="75" spans="1:14" s="27" customFormat="1" x14ac:dyDescent="0.3">
      <c r="A75" s="125" t="s">
        <v>595</v>
      </c>
      <c r="B75" s="125">
        <v>31</v>
      </c>
      <c r="C75" s="26">
        <v>28</v>
      </c>
      <c r="D75" s="13">
        <v>56</v>
      </c>
      <c r="E75" s="523">
        <v>2</v>
      </c>
      <c r="F75" s="120">
        <f t="shared" si="16"/>
        <v>33.6</v>
      </c>
      <c r="G75" s="134">
        <f t="array" ref="G75">IF(E75=0,0,IF(E75=1,D75*$G$2,D75*$G$2*2))</f>
        <v>112</v>
      </c>
      <c r="H75" s="134">
        <f t="array" ref="H75">IF(E75&gt;2,D75*(E75-2)*$H$2,0)</f>
        <v>0</v>
      </c>
      <c r="I75" s="123">
        <f t="shared" si="17"/>
        <v>145.6</v>
      </c>
      <c r="J75" s="13" t="s">
        <v>30</v>
      </c>
      <c r="L75" s="13"/>
    </row>
    <row r="76" spans="1:14" s="27" customFormat="1" x14ac:dyDescent="0.3">
      <c r="A76" s="125" t="s">
        <v>596</v>
      </c>
      <c r="B76" s="125">
        <v>31</v>
      </c>
      <c r="C76" s="26">
        <v>28</v>
      </c>
      <c r="D76" s="13">
        <v>28</v>
      </c>
      <c r="E76" s="523">
        <v>2</v>
      </c>
      <c r="F76" s="120">
        <f t="shared" si="16"/>
        <v>33.6</v>
      </c>
      <c r="G76" s="134">
        <f t="array" ref="G76">IF(E76=0,0,IF(E76=1,D76*$G$2,D76*$G$2*2))</f>
        <v>56</v>
      </c>
      <c r="H76" s="134">
        <f t="array" ref="H76">IF(E76&gt;2,D76*(E76-2)*$H$2,0)</f>
        <v>0</v>
      </c>
      <c r="I76" s="123">
        <f t="shared" si="17"/>
        <v>89.6</v>
      </c>
      <c r="J76" s="13" t="s">
        <v>30</v>
      </c>
      <c r="L76" s="13"/>
    </row>
    <row r="77" spans="1:14" s="27" customFormat="1" x14ac:dyDescent="0.3">
      <c r="A77" s="27" t="s">
        <v>597</v>
      </c>
      <c r="B77" s="27">
        <v>39</v>
      </c>
      <c r="C77" s="26">
        <v>14</v>
      </c>
      <c r="D77" s="13">
        <v>14</v>
      </c>
      <c r="E77" s="523">
        <v>2</v>
      </c>
      <c r="F77" s="120">
        <f t="shared" si="16"/>
        <v>16.8</v>
      </c>
      <c r="G77" s="134">
        <f t="array" ref="G77">IF(E77=0,0,IF(E77=1,D77*$G$2,D77*$G$2*2))</f>
        <v>28</v>
      </c>
      <c r="H77" s="134">
        <f t="array" ref="H77">IF(E77&gt;2,D77*(E77-2)*$H$2,0)</f>
        <v>0</v>
      </c>
      <c r="I77" s="123">
        <f t="shared" si="17"/>
        <v>44.8</v>
      </c>
      <c r="J77" s="13" t="s">
        <v>30</v>
      </c>
      <c r="L77" s="13"/>
    </row>
    <row r="78" spans="1:14" s="27" customFormat="1" x14ac:dyDescent="0.3">
      <c r="A78" s="142" t="s">
        <v>598</v>
      </c>
      <c r="B78" s="142">
        <v>20</v>
      </c>
      <c r="C78" s="26">
        <v>28</v>
      </c>
      <c r="D78" s="13">
        <v>28</v>
      </c>
      <c r="E78" s="523">
        <v>1</v>
      </c>
      <c r="F78" s="120">
        <f t="shared" si="16"/>
        <v>33.6</v>
      </c>
      <c r="G78" s="134">
        <f t="array" ref="G78">IF(E78=0,0,IF(E78=1,D78*$G$2,D78*$G$2*2))</f>
        <v>28</v>
      </c>
      <c r="H78" s="134">
        <f t="array" ref="H78">IF(E78&gt;2,D78*(E78-2)*$H$2,0)</f>
        <v>0</v>
      </c>
      <c r="I78" s="123">
        <f t="shared" si="17"/>
        <v>61.6</v>
      </c>
      <c r="J78" s="13" t="s">
        <v>30</v>
      </c>
      <c r="L78" s="13"/>
    </row>
    <row r="79" spans="1:14" s="27" customFormat="1" x14ac:dyDescent="0.3">
      <c r="A79" s="125" t="s">
        <v>599</v>
      </c>
      <c r="B79" s="125">
        <v>35</v>
      </c>
      <c r="C79" s="26">
        <v>14</v>
      </c>
      <c r="D79" s="13">
        <v>14</v>
      </c>
      <c r="E79" s="523">
        <v>2</v>
      </c>
      <c r="F79" s="120">
        <f t="shared" si="16"/>
        <v>16.8</v>
      </c>
      <c r="G79" s="134">
        <f t="array" ref="G79">IF(E79=0,0,IF(E79=1,D79*$G$2,D79*$G$2*2))</f>
        <v>28</v>
      </c>
      <c r="H79" s="134">
        <f t="array" ref="H79">IF(E79&gt;2,D79*(E79-2)*$H$2,0)</f>
        <v>0</v>
      </c>
      <c r="I79" s="123">
        <f t="shared" si="17"/>
        <v>44.8</v>
      </c>
      <c r="J79" s="13" t="s">
        <v>30</v>
      </c>
      <c r="L79" s="13"/>
    </row>
    <row r="80" spans="1:14" s="27" customFormat="1" x14ac:dyDescent="0.3">
      <c r="A80" s="125" t="s">
        <v>600</v>
      </c>
      <c r="B80" s="125">
        <v>17</v>
      </c>
      <c r="C80" s="26">
        <v>28</v>
      </c>
      <c r="D80" s="13">
        <v>28</v>
      </c>
      <c r="E80" s="523">
        <v>1</v>
      </c>
      <c r="F80" s="120">
        <f t="shared" si="16"/>
        <v>33.6</v>
      </c>
      <c r="G80" s="134">
        <f t="array" ref="G80">IF(E80=0,0,IF(E80=1,D80*$G$2,D80*$G$2*2))</f>
        <v>28</v>
      </c>
      <c r="H80" s="134">
        <f t="array" ref="H80">IF(E80&gt;2,D80*(E80-2)*$H$2,0)</f>
        <v>0</v>
      </c>
      <c r="I80" s="123">
        <f>SUM(F80:H80)</f>
        <v>61.6</v>
      </c>
      <c r="J80" s="13" t="s">
        <v>30</v>
      </c>
      <c r="L80" s="13"/>
    </row>
    <row r="81" spans="1:14" s="27" customFormat="1" ht="16.2" thickBot="1" x14ac:dyDescent="0.35">
      <c r="A81" s="125" t="s">
        <v>601</v>
      </c>
      <c r="B81" s="125">
        <v>16</v>
      </c>
      <c r="C81" s="26">
        <v>28</v>
      </c>
      <c r="D81" s="13">
        <v>28</v>
      </c>
      <c r="E81" s="523">
        <v>1</v>
      </c>
      <c r="F81" s="120">
        <f t="shared" si="16"/>
        <v>33.6</v>
      </c>
      <c r="G81" s="134">
        <f t="array" ref="G81">IF(E81=0,0,IF(E81=1,D81*$G$2,D81*$G$2*2))</f>
        <v>28</v>
      </c>
      <c r="H81" s="134">
        <f t="array" ref="H81">IF(E81&gt;2,D81*(E81-2)*$H$2,0)</f>
        <v>0</v>
      </c>
      <c r="I81" s="123">
        <f t="shared" ref="I81" si="18">SUM(F81:H81)</f>
        <v>61.6</v>
      </c>
      <c r="J81" s="13" t="s">
        <v>30</v>
      </c>
      <c r="L81" s="13"/>
    </row>
    <row r="82" spans="1:14" s="27" customFormat="1" ht="16.2" thickBot="1" x14ac:dyDescent="0.35">
      <c r="A82" s="19" t="s">
        <v>19</v>
      </c>
      <c r="B82" s="19"/>
      <c r="C82" s="84"/>
      <c r="D82" s="13"/>
      <c r="E82" s="122"/>
      <c r="F82" s="26"/>
      <c r="G82" s="1"/>
      <c r="H82" s="1"/>
      <c r="I82" s="135">
        <f>SUM(I66:I81)</f>
        <v>1560.3999999999996</v>
      </c>
      <c r="J82" s="13"/>
      <c r="L82" s="13"/>
    </row>
    <row r="83" spans="1:14" s="19" customFormat="1" x14ac:dyDescent="0.3">
      <c r="A83" s="27" t="s">
        <v>602</v>
      </c>
      <c r="B83" s="27">
        <v>47</v>
      </c>
      <c r="C83" s="26">
        <v>28</v>
      </c>
      <c r="D83" s="13">
        <v>28</v>
      </c>
      <c r="E83" s="523">
        <v>3</v>
      </c>
      <c r="F83" s="120">
        <f t="shared" ref="F83:F99" si="19">IF(B83=0,0*C83*$F$2,C83*$F$2)</f>
        <v>33.6</v>
      </c>
      <c r="G83" s="134">
        <f t="array" ref="G83">IF(E83=0,0,IF(E83=1,D83*$G$2,D83*$G$2*2))</f>
        <v>56</v>
      </c>
      <c r="H83" s="134">
        <f t="array" ref="H83">IF(E83&gt;2,D83*(E83-2)*$H$2,0)</f>
        <v>22.400000000000002</v>
      </c>
      <c r="I83" s="123">
        <f>SUM(F83:H83)</f>
        <v>112</v>
      </c>
      <c r="J83" s="13" t="s">
        <v>30</v>
      </c>
      <c r="K83" s="27"/>
      <c r="L83" s="13"/>
      <c r="M83" s="27"/>
      <c r="N83" s="27"/>
    </row>
    <row r="84" spans="1:14" x14ac:dyDescent="0.3">
      <c r="A84" s="27" t="s">
        <v>603</v>
      </c>
      <c r="B84" s="27">
        <v>55</v>
      </c>
      <c r="C84" s="26">
        <v>28</v>
      </c>
      <c r="D84" s="13">
        <v>28</v>
      </c>
      <c r="E84" s="523">
        <v>3</v>
      </c>
      <c r="F84" s="120">
        <f t="shared" si="19"/>
        <v>33.6</v>
      </c>
      <c r="G84" s="134">
        <f t="array" ref="G84">IF(E84=0,0,IF(E84=1,D84*$G$2,D84*$G$2*2))</f>
        <v>56</v>
      </c>
      <c r="H84" s="134">
        <f t="array" ref="H84">IF(E84&gt;2,D84*(E84-2)*$H$2,0)</f>
        <v>22.400000000000002</v>
      </c>
      <c r="I84" s="123">
        <f>SUM(F84:H84)</f>
        <v>112</v>
      </c>
      <c r="J84" s="13" t="s">
        <v>30</v>
      </c>
      <c r="K84" s="19"/>
      <c r="L84" s="13"/>
      <c r="M84" s="19"/>
      <c r="N84" s="19"/>
    </row>
    <row r="85" spans="1:14" s="19" customFormat="1" x14ac:dyDescent="0.3">
      <c r="A85" s="27" t="s">
        <v>604</v>
      </c>
      <c r="B85" s="27">
        <v>43</v>
      </c>
      <c r="C85" s="26">
        <v>28</v>
      </c>
      <c r="D85" s="13">
        <v>28</v>
      </c>
      <c r="E85" s="523">
        <v>2</v>
      </c>
      <c r="F85" s="120">
        <f t="shared" si="19"/>
        <v>33.6</v>
      </c>
      <c r="G85" s="134">
        <f t="array" ref="G85">IF(E85=0,0,IF(E85=1,D85*$G$2,D85*$G$2*2))</f>
        <v>56</v>
      </c>
      <c r="H85" s="134">
        <f t="array" ref="H85">IF(E85&gt;2,D85*(E85-2)*$H$2,0)</f>
        <v>0</v>
      </c>
      <c r="I85" s="123">
        <f>SUM(F85:H85)</f>
        <v>89.6</v>
      </c>
      <c r="J85" s="13" t="s">
        <v>30</v>
      </c>
      <c r="L85" s="13"/>
    </row>
    <row r="86" spans="1:14" s="19" customFormat="1" x14ac:dyDescent="0.3">
      <c r="A86" s="27" t="s">
        <v>605</v>
      </c>
      <c r="B86" s="27">
        <v>13</v>
      </c>
      <c r="C86" s="26">
        <v>0</v>
      </c>
      <c r="D86" s="13">
        <v>112</v>
      </c>
      <c r="E86" s="523">
        <v>1</v>
      </c>
      <c r="F86" s="120">
        <f t="shared" si="19"/>
        <v>0</v>
      </c>
      <c r="G86" s="134">
        <f t="array" ref="G86">IF(E86=0,0,IF(E86=1,D86*$G$2,D86*$G$2*2))</f>
        <v>112</v>
      </c>
      <c r="H86" s="134">
        <f t="array" ref="H86">IF(E86&gt;2,D86*(E86-2)*$H$2,0)</f>
        <v>0</v>
      </c>
      <c r="I86" s="123">
        <f>SUM(F86:H86)</f>
        <v>112</v>
      </c>
      <c r="J86" s="13" t="s">
        <v>30</v>
      </c>
      <c r="K86" s="27"/>
      <c r="L86" s="13"/>
      <c r="M86" s="1"/>
      <c r="N86" s="1"/>
    </row>
    <row r="87" spans="1:14" s="19" customFormat="1" x14ac:dyDescent="0.3">
      <c r="A87" s="27" t="s">
        <v>606</v>
      </c>
      <c r="B87" s="27">
        <v>59</v>
      </c>
      <c r="C87" s="26">
        <v>28</v>
      </c>
      <c r="D87" s="13">
        <v>28</v>
      </c>
      <c r="E87" s="523">
        <v>3</v>
      </c>
      <c r="F87" s="120">
        <f t="shared" si="19"/>
        <v>33.6</v>
      </c>
      <c r="G87" s="134">
        <f t="array" ref="G87">IF(E87=0,0,IF(E87=1,D87*$G$2,D87*$G$2*2))</f>
        <v>56</v>
      </c>
      <c r="H87" s="134">
        <f t="array" ref="H87">IF(E87&gt;2,D87*(E87-2)*$H$2,0)</f>
        <v>22.400000000000002</v>
      </c>
      <c r="I87" s="123">
        <f t="shared" ref="I87:I89" si="20">SUM(F87:H87)</f>
        <v>112</v>
      </c>
      <c r="J87" s="13" t="s">
        <v>30</v>
      </c>
      <c r="K87" s="13"/>
      <c r="L87" s="13"/>
      <c r="M87" s="1"/>
      <c r="N87" s="1"/>
    </row>
    <row r="88" spans="1:14" s="27" customFormat="1" x14ac:dyDescent="0.3">
      <c r="A88" s="27" t="s">
        <v>607</v>
      </c>
      <c r="B88" s="27">
        <v>4</v>
      </c>
      <c r="C88" s="26">
        <v>28</v>
      </c>
      <c r="D88" s="13">
        <v>28</v>
      </c>
      <c r="E88" s="523">
        <v>1</v>
      </c>
      <c r="F88" s="120">
        <f t="shared" si="19"/>
        <v>33.6</v>
      </c>
      <c r="G88" s="134">
        <f t="array" ref="G88">IF(E88=0,0,IF(E88=1,D88*$G$2,D88*$G$2*2))</f>
        <v>28</v>
      </c>
      <c r="H88" s="134">
        <f t="array" ref="H88">IF(E88&gt;2,D88*(E88-2)*$H$2,0)</f>
        <v>0</v>
      </c>
      <c r="I88" s="123">
        <f t="shared" si="20"/>
        <v>61.6</v>
      </c>
      <c r="J88" s="13" t="s">
        <v>30</v>
      </c>
      <c r="K88" s="21"/>
      <c r="L88" s="13"/>
      <c r="N88" s="1"/>
    </row>
    <row r="89" spans="1:14" s="27" customFormat="1" x14ac:dyDescent="0.3">
      <c r="A89" s="27" t="s">
        <v>608</v>
      </c>
      <c r="B89" s="27">
        <v>4</v>
      </c>
      <c r="C89" s="26">
        <v>28</v>
      </c>
      <c r="D89" s="13">
        <v>28</v>
      </c>
      <c r="E89" s="523">
        <v>1</v>
      </c>
      <c r="F89" s="120">
        <f t="shared" si="19"/>
        <v>33.6</v>
      </c>
      <c r="G89" s="134">
        <f t="array" ref="G89">IF(E89=0,0,IF(E89=1,D89*$G$2,D89*$G$2*2))</f>
        <v>28</v>
      </c>
      <c r="H89" s="134">
        <f t="array" ref="H89">IF(E89&gt;2,D89*(E89-2)*$H$2,0)</f>
        <v>0</v>
      </c>
      <c r="I89" s="123">
        <f t="shared" si="20"/>
        <v>61.6</v>
      </c>
      <c r="J89" s="13" t="s">
        <v>30</v>
      </c>
      <c r="L89" s="13"/>
    </row>
    <row r="90" spans="1:14" s="27" customFormat="1" x14ac:dyDescent="0.3">
      <c r="A90" s="27" t="s">
        <v>609</v>
      </c>
      <c r="B90" s="27">
        <v>32</v>
      </c>
      <c r="C90" s="26">
        <v>28</v>
      </c>
      <c r="D90" s="13">
        <v>28</v>
      </c>
      <c r="E90" s="523">
        <v>2</v>
      </c>
      <c r="F90" s="120">
        <f t="shared" si="19"/>
        <v>33.6</v>
      </c>
      <c r="G90" s="134">
        <f t="array" ref="G90">IF(E90=0,0,IF(E90=1,D90*$G$2,D90*$G$2*2))</f>
        <v>56</v>
      </c>
      <c r="H90" s="134">
        <f t="array" ref="H90">IF(E90&gt;2,D90*(E90-2)*$H$2,0)</f>
        <v>0</v>
      </c>
      <c r="I90" s="123">
        <f>SUM(F90:H90)</f>
        <v>89.6</v>
      </c>
      <c r="J90" s="13" t="s">
        <v>30</v>
      </c>
      <c r="L90" s="13"/>
    </row>
    <row r="91" spans="1:14" s="27" customFormat="1" x14ac:dyDescent="0.3">
      <c r="A91" s="27" t="s">
        <v>610</v>
      </c>
      <c r="B91" s="27">
        <v>4</v>
      </c>
      <c r="C91" s="26">
        <v>28</v>
      </c>
      <c r="D91" s="13">
        <v>28</v>
      </c>
      <c r="E91" s="523">
        <v>1</v>
      </c>
      <c r="F91" s="120">
        <f t="shared" si="19"/>
        <v>33.6</v>
      </c>
      <c r="G91" s="134">
        <f t="array" ref="G91">IF(E91=0,0,IF(E91=1,D91*$G$2,D91*$G$2*2))</f>
        <v>28</v>
      </c>
      <c r="H91" s="134">
        <f t="array" ref="H91">IF(E91&gt;2,D91*(E91-2)*$H$2,0)</f>
        <v>0</v>
      </c>
      <c r="I91" s="123">
        <f t="shared" ref="I91:I92" si="21">SUM(F91:H91)</f>
        <v>61.6</v>
      </c>
      <c r="J91" s="13" t="s">
        <v>30</v>
      </c>
      <c r="L91" s="13"/>
    </row>
    <row r="92" spans="1:14" s="27" customFormat="1" x14ac:dyDescent="0.3">
      <c r="A92" s="27" t="s">
        <v>611</v>
      </c>
      <c r="B92" s="27">
        <v>45</v>
      </c>
      <c r="C92" s="26">
        <v>28</v>
      </c>
      <c r="D92" s="13">
        <v>56</v>
      </c>
      <c r="E92" s="523">
        <v>2</v>
      </c>
      <c r="F92" s="120">
        <f t="shared" si="19"/>
        <v>33.6</v>
      </c>
      <c r="G92" s="134">
        <f t="array" ref="G92">IF(E92=0,0,IF(E92=1,D92*$G$2,D92*$G$2*2))</f>
        <v>112</v>
      </c>
      <c r="H92" s="134">
        <f t="array" ref="H92">IF(E92&gt;2,D92*(E92-2)*$H$2,0)</f>
        <v>0</v>
      </c>
      <c r="I92" s="123">
        <f t="shared" si="21"/>
        <v>145.6</v>
      </c>
      <c r="J92" s="13" t="s">
        <v>30</v>
      </c>
      <c r="K92" s="1" t="s">
        <v>985</v>
      </c>
      <c r="L92" s="13"/>
      <c r="M92" s="19"/>
      <c r="N92" s="19"/>
    </row>
    <row r="93" spans="1:14" s="27" customFormat="1" x14ac:dyDescent="0.3">
      <c r="A93" s="142" t="s">
        <v>612</v>
      </c>
      <c r="B93" s="142">
        <v>43</v>
      </c>
      <c r="C93" s="26">
        <v>28</v>
      </c>
      <c r="D93" s="13">
        <v>28</v>
      </c>
      <c r="E93" s="523">
        <v>5</v>
      </c>
      <c r="F93" s="120">
        <f t="shared" si="19"/>
        <v>33.6</v>
      </c>
      <c r="G93" s="134">
        <f t="array" ref="G93">IF(E93=0,0,IF(E93=1,D93*$G$2,D93*$G$2*2))</f>
        <v>56</v>
      </c>
      <c r="H93" s="134">
        <f t="array" ref="H93">IF(E93&gt;2,D93*(E93-2)*$H$2,0)</f>
        <v>67.2</v>
      </c>
      <c r="I93" s="123">
        <f>SUM(F93:H93)</f>
        <v>156.80000000000001</v>
      </c>
      <c r="J93" s="13" t="s">
        <v>30</v>
      </c>
      <c r="K93" s="1" t="s">
        <v>986</v>
      </c>
      <c r="L93" s="13"/>
      <c r="M93" s="1"/>
      <c r="N93" s="1"/>
    </row>
    <row r="94" spans="1:14" s="27" customFormat="1" x14ac:dyDescent="0.3">
      <c r="A94" s="125" t="s">
        <v>613</v>
      </c>
      <c r="B94" s="125">
        <v>56</v>
      </c>
      <c r="C94" s="26">
        <v>28</v>
      </c>
      <c r="D94" s="13">
        <v>28</v>
      </c>
      <c r="E94" s="523">
        <v>3</v>
      </c>
      <c r="F94" s="120">
        <f t="shared" si="19"/>
        <v>33.6</v>
      </c>
      <c r="G94" s="134">
        <f t="array" ref="G94">IF(E94=0,0,IF(E94=1,D94*$G$2,D94*$G$2*2))</f>
        <v>56</v>
      </c>
      <c r="H94" s="134">
        <f t="array" ref="H94">IF(E94&gt;2,D94*(E94-2)*$H$2,0)</f>
        <v>22.400000000000002</v>
      </c>
      <c r="I94" s="123">
        <f>SUM(F94:H94)</f>
        <v>112</v>
      </c>
      <c r="J94" s="13" t="s">
        <v>30</v>
      </c>
      <c r="K94" s="1"/>
      <c r="L94" s="13"/>
    </row>
    <row r="95" spans="1:14" s="27" customFormat="1" x14ac:dyDescent="0.3">
      <c r="A95" s="125" t="s">
        <v>614</v>
      </c>
      <c r="B95" s="125">
        <v>47</v>
      </c>
      <c r="C95" s="26">
        <v>28</v>
      </c>
      <c r="D95" s="13">
        <v>28</v>
      </c>
      <c r="E95" s="523">
        <v>4</v>
      </c>
      <c r="F95" s="120">
        <f t="shared" si="19"/>
        <v>33.6</v>
      </c>
      <c r="G95" s="134">
        <f t="array" ref="G95">IF(E95=0,0,IF(E95=1,D95*$G$2,D95*$G$2*2))</f>
        <v>56</v>
      </c>
      <c r="H95" s="134">
        <f t="array" ref="H95">IF(E95&gt;2,D95*(E95-2)*$H$2,0)</f>
        <v>44.800000000000004</v>
      </c>
      <c r="I95" s="123">
        <f t="shared" ref="I95:I97" si="22">SUM(F95:H95)</f>
        <v>134.4</v>
      </c>
      <c r="J95" s="13" t="s">
        <v>30</v>
      </c>
      <c r="K95" s="1"/>
      <c r="L95" s="13"/>
    </row>
    <row r="96" spans="1:14" s="19" customFormat="1" x14ac:dyDescent="0.3">
      <c r="A96" s="125" t="s">
        <v>984</v>
      </c>
      <c r="B96" s="125">
        <v>61</v>
      </c>
      <c r="C96" s="26">
        <v>28</v>
      </c>
      <c r="D96" s="13">
        <v>28</v>
      </c>
      <c r="E96" s="523">
        <v>3</v>
      </c>
      <c r="F96" s="120">
        <f t="shared" si="19"/>
        <v>33.6</v>
      </c>
      <c r="G96" s="134">
        <f t="array" ref="G96">IF(E96=0,0,IF(E96=1,D96*$G$2,D96*$G$2*2))</f>
        <v>56</v>
      </c>
      <c r="H96" s="134">
        <f t="array" ref="H96">IF(E96&gt;2,D96*(E96-2)*$H$2,0)</f>
        <v>22.400000000000002</v>
      </c>
      <c r="I96" s="123">
        <f t="shared" si="22"/>
        <v>112</v>
      </c>
      <c r="J96" s="13" t="s">
        <v>30</v>
      </c>
      <c r="K96" s="1" t="s">
        <v>987</v>
      </c>
      <c r="L96" s="13"/>
      <c r="M96" s="27"/>
      <c r="N96" s="27"/>
    </row>
    <row r="97" spans="1:14" s="27" customFormat="1" x14ac:dyDescent="0.3">
      <c r="A97" s="125" t="s">
        <v>615</v>
      </c>
      <c r="B97" s="125">
        <v>3</v>
      </c>
      <c r="C97" s="26">
        <v>28</v>
      </c>
      <c r="D97" s="13">
        <v>28</v>
      </c>
      <c r="E97" s="523">
        <v>1</v>
      </c>
      <c r="F97" s="120">
        <f t="shared" si="19"/>
        <v>33.6</v>
      </c>
      <c r="G97" s="134">
        <f t="array" ref="G97">IF(E97=0,0,IF(E97=1,D97*$G$2,D97*$G$2*2))</f>
        <v>28</v>
      </c>
      <c r="H97" s="134">
        <f t="array" ref="H97">IF(E97&gt;2,D97*(E97-2)*$H$2,0)</f>
        <v>0</v>
      </c>
      <c r="I97" s="123">
        <f t="shared" si="22"/>
        <v>61.6</v>
      </c>
      <c r="J97" s="13" t="s">
        <v>30</v>
      </c>
      <c r="K97" s="1"/>
      <c r="L97" s="13"/>
    </row>
    <row r="98" spans="1:14" s="27" customFormat="1" x14ac:dyDescent="0.3">
      <c r="A98" s="125" t="s">
        <v>616</v>
      </c>
      <c r="B98" s="125">
        <v>29</v>
      </c>
      <c r="C98" s="26">
        <v>28</v>
      </c>
      <c r="D98" s="13">
        <v>56</v>
      </c>
      <c r="E98" s="523">
        <v>3</v>
      </c>
      <c r="F98" s="120">
        <f t="shared" si="19"/>
        <v>33.6</v>
      </c>
      <c r="G98" s="134">
        <f t="array" ref="G98">IF(E98=0,0,IF(E98=1,D98*$G$2,D98*$G$2*2))</f>
        <v>112</v>
      </c>
      <c r="H98" s="134">
        <f t="array" ref="H98">IF(E98&gt;2,D98*(E98-2)*$H$2,0)</f>
        <v>44.800000000000004</v>
      </c>
      <c r="I98" s="123">
        <f>SUM(F98:H98)</f>
        <v>190.4</v>
      </c>
      <c r="J98" s="13" t="s">
        <v>30</v>
      </c>
      <c r="K98" s="1"/>
      <c r="L98" s="13"/>
    </row>
    <row r="99" spans="1:14" s="27" customFormat="1" x14ac:dyDescent="0.3">
      <c r="A99" s="125" t="s">
        <v>617</v>
      </c>
      <c r="B99" s="125">
        <v>34</v>
      </c>
      <c r="C99" s="26">
        <v>28</v>
      </c>
      <c r="D99" s="13">
        <v>28</v>
      </c>
      <c r="E99" s="523">
        <v>2</v>
      </c>
      <c r="F99" s="120">
        <f t="shared" si="19"/>
        <v>33.6</v>
      </c>
      <c r="G99" s="134">
        <f t="array" ref="G99">IF(E99=0,0,IF(E99=1,D99*$G$2,D99*$G$2*2))</f>
        <v>56</v>
      </c>
      <c r="H99" s="134">
        <f t="array" ref="H99">IF(E99&gt;2,D99*(E99-2)*$H$2,0)</f>
        <v>0</v>
      </c>
      <c r="I99" s="123">
        <f t="shared" ref="I99" si="23">SUM(F99:H99)</f>
        <v>89.6</v>
      </c>
      <c r="J99" s="13" t="s">
        <v>30</v>
      </c>
      <c r="K99" s="1"/>
      <c r="L99" s="13"/>
    </row>
    <row r="100" spans="1:14" s="27" customFormat="1" x14ac:dyDescent="0.3">
      <c r="A100" s="125" t="s">
        <v>715</v>
      </c>
      <c r="B100" s="125">
        <v>11</v>
      </c>
      <c r="C100" s="26">
        <v>0</v>
      </c>
      <c r="D100" s="13">
        <v>112</v>
      </c>
      <c r="E100" s="523">
        <v>1</v>
      </c>
      <c r="F100" s="120">
        <f>IF(B100=0,0*C100*$F$2,C100*$F$2)</f>
        <v>0</v>
      </c>
      <c r="G100" s="134">
        <f t="array" ref="G100">IF(E100=0,0,IF(E100=1,D100*$G$2,D100*$G$2*2))</f>
        <v>112</v>
      </c>
      <c r="H100" s="134">
        <f t="array" ref="H100">IF(E100&gt;2,D100*(E100-2)*$H$2,0)</f>
        <v>0</v>
      </c>
      <c r="I100" s="123">
        <f>SUM(F100:H100)</f>
        <v>112</v>
      </c>
      <c r="J100" s="13" t="s">
        <v>30</v>
      </c>
      <c r="K100" s="1" t="s">
        <v>988</v>
      </c>
      <c r="L100" s="13"/>
    </row>
    <row r="101" spans="1:14" s="27" customFormat="1" x14ac:dyDescent="0.3">
      <c r="A101" s="125" t="s">
        <v>618</v>
      </c>
      <c r="B101" s="125">
        <v>104</v>
      </c>
      <c r="C101" s="26">
        <v>14</v>
      </c>
      <c r="D101" s="13">
        <v>14</v>
      </c>
      <c r="E101" s="523">
        <v>5</v>
      </c>
      <c r="F101" s="120">
        <f t="shared" ref="F101:F108" si="24">IF(B101=0,0*C101*$F$2,C101*$F$2)</f>
        <v>16.8</v>
      </c>
      <c r="G101" s="134">
        <f t="array" ref="G101">IF(E101=0,0,IF(E101=1,D101*$G$2,D101*$G$2*2))</f>
        <v>28</v>
      </c>
      <c r="H101" s="134">
        <f t="array" ref="H101">IF(E101&gt;2,D101*(E101-2)*$H$2,0)</f>
        <v>33.6</v>
      </c>
      <c r="I101" s="123">
        <f>SUM(F101:H101)</f>
        <v>78.400000000000006</v>
      </c>
      <c r="J101" s="13" t="s">
        <v>30</v>
      </c>
      <c r="K101" s="1"/>
      <c r="L101" s="13"/>
    </row>
    <row r="102" spans="1:14" s="27" customFormat="1" x14ac:dyDescent="0.3">
      <c r="A102" s="125" t="s">
        <v>619</v>
      </c>
      <c r="B102" s="125">
        <v>4</v>
      </c>
      <c r="C102" s="26">
        <v>7</v>
      </c>
      <c r="D102" s="13">
        <v>0</v>
      </c>
      <c r="E102" s="523">
        <v>1</v>
      </c>
      <c r="F102" s="120">
        <f t="shared" si="24"/>
        <v>8.4</v>
      </c>
      <c r="G102" s="134">
        <f t="array" ref="G102">IF(E102=0,0,IF(E102=1,D102*$G$2,D102*$G$2*2))</f>
        <v>0</v>
      </c>
      <c r="H102" s="134">
        <f t="array" ref="H102">IF(E102&gt;2,D102*(E102-2)*$H$2,0)</f>
        <v>0</v>
      </c>
      <c r="I102" s="123">
        <f t="shared" ref="I102:I107" si="25">SUM(F102:H102)</f>
        <v>8.4</v>
      </c>
      <c r="J102" s="13" t="s">
        <v>30</v>
      </c>
      <c r="K102" s="1"/>
      <c r="L102" s="13"/>
    </row>
    <row r="103" spans="1:14" s="27" customFormat="1" x14ac:dyDescent="0.3">
      <c r="A103" s="125" t="s">
        <v>620</v>
      </c>
      <c r="B103" s="125">
        <v>0</v>
      </c>
      <c r="C103" s="26">
        <v>0</v>
      </c>
      <c r="D103" s="13">
        <v>5</v>
      </c>
      <c r="E103" s="523">
        <v>0</v>
      </c>
      <c r="F103" s="120">
        <f t="shared" si="24"/>
        <v>0</v>
      </c>
      <c r="G103" s="134">
        <f t="array" ref="G103">IF(E103=0,0,IF(E103=1,D103*$G$2,D103*$G$2*2))</f>
        <v>0</v>
      </c>
      <c r="H103" s="134">
        <f t="array" ref="H103">IF(E103&gt;2,D103*(E103-2)*$H$2,0)</f>
        <v>0</v>
      </c>
      <c r="I103" s="123">
        <f t="shared" si="25"/>
        <v>0</v>
      </c>
      <c r="J103" s="13" t="s">
        <v>30</v>
      </c>
      <c r="K103" s="1"/>
      <c r="L103" s="13"/>
    </row>
    <row r="104" spans="1:14" s="27" customFormat="1" x14ac:dyDescent="0.3">
      <c r="A104" s="1039" t="s">
        <v>621</v>
      </c>
      <c r="B104" s="1039">
        <v>8</v>
      </c>
      <c r="C104" s="26">
        <v>28</v>
      </c>
      <c r="D104" s="890">
        <v>28</v>
      </c>
      <c r="E104" s="523">
        <v>1</v>
      </c>
      <c r="F104" s="120">
        <f t="shared" si="24"/>
        <v>33.6</v>
      </c>
      <c r="G104" s="134">
        <f t="array" ref="G104">IF(E104=0,0,IF(E104=1,D104*$G$2,D104*$G$2*2))</f>
        <v>28</v>
      </c>
      <c r="H104" s="134">
        <f t="array" ref="H104">IF(E104&gt;2,D104*(E104-2)*$H$2,0)</f>
        <v>0</v>
      </c>
      <c r="I104" s="123">
        <f t="shared" si="25"/>
        <v>61.6</v>
      </c>
      <c r="J104" s="13" t="s">
        <v>30</v>
      </c>
      <c r="K104" s="889" t="s">
        <v>622</v>
      </c>
      <c r="L104" s="13"/>
    </row>
    <row r="105" spans="1:14" s="27" customFormat="1" x14ac:dyDescent="0.3">
      <c r="A105" s="125" t="s">
        <v>623</v>
      </c>
      <c r="B105" s="125">
        <v>8</v>
      </c>
      <c r="C105" s="26">
        <v>11</v>
      </c>
      <c r="D105" s="13">
        <v>22</v>
      </c>
      <c r="E105" s="523">
        <v>1</v>
      </c>
      <c r="F105" s="120">
        <f t="shared" si="24"/>
        <v>13.2</v>
      </c>
      <c r="G105" s="134">
        <f t="array" ref="G105">IF(E105=0,0,IF(E105=1,D105*$G$2,D105*$G$2*2))</f>
        <v>22</v>
      </c>
      <c r="H105" s="134">
        <f t="array" ref="H105">IF(E105&gt;2,D105*(E105-2)*$H$2,0)</f>
        <v>0</v>
      </c>
      <c r="I105" s="123">
        <f t="shared" si="25"/>
        <v>35.200000000000003</v>
      </c>
      <c r="J105" s="13" t="s">
        <v>30</v>
      </c>
      <c r="L105" s="13"/>
    </row>
    <row r="106" spans="1:14" s="27" customFormat="1" x14ac:dyDescent="0.3">
      <c r="A106" s="125" t="s">
        <v>624</v>
      </c>
      <c r="B106" s="125">
        <v>22</v>
      </c>
      <c r="C106" s="137">
        <v>22</v>
      </c>
      <c r="D106" s="137">
        <v>22</v>
      </c>
      <c r="E106" s="523">
        <v>1</v>
      </c>
      <c r="F106" s="120">
        <f t="shared" si="24"/>
        <v>26.4</v>
      </c>
      <c r="G106" s="134">
        <f t="array" ref="G106">IF(E106=0,0,IF(E106=1,D106*$G$2,D106*$G$2*2))</f>
        <v>22</v>
      </c>
      <c r="H106" s="134">
        <f t="array" ref="H106">IF(E106&gt;2,D106*(E106-2)*$H$2,0)</f>
        <v>0</v>
      </c>
      <c r="I106" s="123">
        <f t="shared" si="25"/>
        <v>48.4</v>
      </c>
      <c r="J106" s="13" t="s">
        <v>30</v>
      </c>
      <c r="L106" s="13"/>
      <c r="N106" s="1"/>
    </row>
    <row r="107" spans="1:14" s="27" customFormat="1" x14ac:dyDescent="0.3">
      <c r="A107" s="125" t="s">
        <v>625</v>
      </c>
      <c r="B107" s="125">
        <v>8</v>
      </c>
      <c r="C107" s="137">
        <v>21</v>
      </c>
      <c r="D107" s="137">
        <v>14</v>
      </c>
      <c r="E107" s="523">
        <v>1</v>
      </c>
      <c r="F107" s="120">
        <f t="shared" si="24"/>
        <v>25.2</v>
      </c>
      <c r="G107" s="134">
        <f t="array" ref="G107">IF(E107=0,0,IF(E107=1,D107*$G$2,D107*$G$2*2))</f>
        <v>14</v>
      </c>
      <c r="H107" s="134">
        <f t="array" ref="H107">IF(E107&gt;2,D107*(E107-2)*$H$2,0)</f>
        <v>0</v>
      </c>
      <c r="I107" s="123">
        <f t="shared" si="25"/>
        <v>39.200000000000003</v>
      </c>
      <c r="J107" s="13" t="s">
        <v>30</v>
      </c>
      <c r="L107" s="13"/>
      <c r="N107" s="1"/>
    </row>
    <row r="108" spans="1:14" s="27" customFormat="1" ht="16.2" thickBot="1" x14ac:dyDescent="0.35">
      <c r="A108" s="125" t="s">
        <v>626</v>
      </c>
      <c r="B108" s="125">
        <v>24</v>
      </c>
      <c r="C108" s="137">
        <v>22</v>
      </c>
      <c r="D108" s="137">
        <v>22</v>
      </c>
      <c r="E108" s="523">
        <v>2</v>
      </c>
      <c r="F108" s="120">
        <f t="shared" si="24"/>
        <v>26.4</v>
      </c>
      <c r="G108" s="134">
        <f t="array" ref="G108">IF(E108=0,0,IF(E108=1,D108*$G$2,D108*$G$2*2))</f>
        <v>44</v>
      </c>
      <c r="H108" s="134">
        <f t="array" ref="H108">IF(E108&gt;2,D108*(E108-2)*$H$2,0)</f>
        <v>0</v>
      </c>
      <c r="I108" s="123">
        <f t="shared" ref="I108" si="26">SUM(F108:H108)</f>
        <v>70.400000000000006</v>
      </c>
      <c r="J108" s="13" t="s">
        <v>30</v>
      </c>
      <c r="L108" s="13"/>
      <c r="N108" s="1"/>
    </row>
    <row r="109" spans="1:14" s="27" customFormat="1" ht="16.2" thickBot="1" x14ac:dyDescent="0.35">
      <c r="A109" s="19" t="s">
        <v>20</v>
      </c>
      <c r="B109" s="19"/>
      <c r="C109" s="26"/>
      <c r="D109" s="13"/>
      <c r="E109" s="122"/>
      <c r="F109" s="26"/>
      <c r="G109" s="1"/>
      <c r="H109" s="1"/>
      <c r="I109" s="135">
        <f>SUM(I83:I108)</f>
        <v>2268</v>
      </c>
      <c r="J109" s="13"/>
      <c r="L109" s="13"/>
    </row>
    <row r="110" spans="1:14" s="27" customFormat="1" x14ac:dyDescent="0.3">
      <c r="A110" s="27" t="s">
        <v>627</v>
      </c>
      <c r="B110" s="27" t="s">
        <v>989</v>
      </c>
      <c r="C110" s="26">
        <v>0</v>
      </c>
      <c r="D110" s="13">
        <v>20</v>
      </c>
      <c r="E110" s="523">
        <v>2</v>
      </c>
      <c r="F110" s="120">
        <f t="shared" ref="F110:F138" si="27">IF(B110=0,0*C110*$F$2,C110*$F$2)</f>
        <v>0</v>
      </c>
      <c r="G110" s="134">
        <f t="array" ref="G110">IF(E110=0,0,IF(E110=1,D110*$G$2,D110*$G$2*2))</f>
        <v>40</v>
      </c>
      <c r="H110" s="134">
        <f t="array" ref="H110">IF(E110&gt;2,D110*(E110-2)*$H$2,0)</f>
        <v>0</v>
      </c>
      <c r="I110" s="123">
        <f t="shared" ref="I110" si="28">SUM(F110:H110)</f>
        <v>40</v>
      </c>
      <c r="J110" s="13" t="s">
        <v>30</v>
      </c>
      <c r="L110" s="13"/>
    </row>
    <row r="111" spans="1:14" s="27" customFormat="1" x14ac:dyDescent="0.3">
      <c r="A111" s="27" t="s">
        <v>480</v>
      </c>
      <c r="B111" s="27">
        <v>23</v>
      </c>
      <c r="C111" s="26">
        <v>0</v>
      </c>
      <c r="D111" s="13">
        <v>28</v>
      </c>
      <c r="E111" s="523">
        <v>1</v>
      </c>
      <c r="F111" s="120">
        <f t="shared" si="27"/>
        <v>0</v>
      </c>
      <c r="G111" s="134">
        <f t="array" ref="G111">IF(E111=0,0,IF(E111=1,D111*$G$2,D111*$G$2*2))</f>
        <v>28</v>
      </c>
      <c r="H111" s="134">
        <f t="array" ref="H111">IF(E111&gt;2,D111*(E111-2)*$H$2,0)</f>
        <v>0</v>
      </c>
      <c r="I111" s="123">
        <f>SUM(F111:H111)</f>
        <v>28</v>
      </c>
      <c r="J111" s="13" t="s">
        <v>30</v>
      </c>
      <c r="L111" s="13"/>
    </row>
    <row r="112" spans="1:14" s="27" customFormat="1" x14ac:dyDescent="0.3">
      <c r="A112" s="27" t="s">
        <v>628</v>
      </c>
      <c r="B112" s="27">
        <v>10</v>
      </c>
      <c r="C112" s="26">
        <v>28</v>
      </c>
      <c r="D112" s="13">
        <v>28</v>
      </c>
      <c r="E112" s="523">
        <v>1</v>
      </c>
      <c r="F112" s="120">
        <f t="shared" si="27"/>
        <v>33.6</v>
      </c>
      <c r="G112" s="134">
        <f t="array" ref="G112">IF(E112=0,0,IF(E112=1,D112*$G$2,D112*$G$2*2))</f>
        <v>28</v>
      </c>
      <c r="H112" s="134">
        <f t="array" ref="H112">IF(E112&gt;2,D112*(E112-2)*$H$2,0)</f>
        <v>0</v>
      </c>
      <c r="I112" s="123">
        <f>SUM(F112:H112)</f>
        <v>61.6</v>
      </c>
      <c r="J112" s="13" t="s">
        <v>30</v>
      </c>
      <c r="L112" s="13"/>
    </row>
    <row r="113" spans="1:14" s="27" customFormat="1" x14ac:dyDescent="0.3">
      <c r="A113" s="27" t="s">
        <v>990</v>
      </c>
      <c r="B113" s="27">
        <v>17</v>
      </c>
      <c r="C113" s="26">
        <v>14</v>
      </c>
      <c r="D113" s="13">
        <v>14</v>
      </c>
      <c r="E113" s="523">
        <v>1</v>
      </c>
      <c r="F113" s="120">
        <f t="shared" si="27"/>
        <v>16.8</v>
      </c>
      <c r="G113" s="134">
        <f t="array" ref="G113">IF(E113=0,0,IF(E113=1,D113*$G$2,D113*$G$2*2))</f>
        <v>14</v>
      </c>
      <c r="H113" s="134">
        <f t="array" ref="H113">IF(E113&gt;2,D113*(E113-2)*$H$2,0)</f>
        <v>0</v>
      </c>
      <c r="I113" s="123">
        <f t="shared" ref="I113:I114" si="29">SUM(F113:H113)</f>
        <v>30.8</v>
      </c>
      <c r="J113" s="13" t="s">
        <v>30</v>
      </c>
      <c r="L113" s="13"/>
    </row>
    <row r="114" spans="1:14" s="27" customFormat="1" x14ac:dyDescent="0.3">
      <c r="A114" s="27" t="s">
        <v>629</v>
      </c>
      <c r="B114" s="27">
        <v>6</v>
      </c>
      <c r="C114" s="26">
        <v>28</v>
      </c>
      <c r="D114" s="13">
        <v>28</v>
      </c>
      <c r="E114" s="523">
        <v>1</v>
      </c>
      <c r="F114" s="120">
        <f t="shared" si="27"/>
        <v>33.6</v>
      </c>
      <c r="G114" s="134">
        <f t="array" ref="G114">IF(E114=0,0,IF(E114=1,D114*$G$2,D114*$G$2*2))</f>
        <v>28</v>
      </c>
      <c r="H114" s="134">
        <f t="array" ref="H114">IF(E114&gt;2,D114*(E114-2)*$H$2,0)</f>
        <v>0</v>
      </c>
      <c r="I114" s="123">
        <f t="shared" si="29"/>
        <v>61.6</v>
      </c>
      <c r="J114" s="13" t="s">
        <v>30</v>
      </c>
      <c r="L114" s="13"/>
    </row>
    <row r="115" spans="1:14" s="27" customFormat="1" x14ac:dyDescent="0.3">
      <c r="A115" s="27" t="s">
        <v>991</v>
      </c>
      <c r="B115" s="27">
        <v>6</v>
      </c>
      <c r="C115" s="26">
        <v>20</v>
      </c>
      <c r="D115" s="13">
        <v>20</v>
      </c>
      <c r="E115" s="523">
        <v>1</v>
      </c>
      <c r="F115" s="120">
        <f t="shared" si="27"/>
        <v>24</v>
      </c>
      <c r="G115" s="134">
        <f t="array" ref="G115">IF(E115=0,0,IF(E115=1,D115*$G$2,D115*$G$2*2))</f>
        <v>20</v>
      </c>
      <c r="H115" s="134">
        <f t="array" ref="H115">IF(E115&gt;2,D115*(E115-2)*$H$2,0)</f>
        <v>0</v>
      </c>
      <c r="I115" s="123">
        <f>SUM(F115:H115)</f>
        <v>44</v>
      </c>
      <c r="J115" s="13" t="s">
        <v>30</v>
      </c>
      <c r="L115" s="13"/>
    </row>
    <row r="116" spans="1:14" s="27" customFormat="1" x14ac:dyDescent="0.3">
      <c r="A116" s="27" t="s">
        <v>630</v>
      </c>
      <c r="B116" s="27">
        <v>7</v>
      </c>
      <c r="C116" s="26">
        <v>0</v>
      </c>
      <c r="D116" s="13">
        <v>28</v>
      </c>
      <c r="E116" s="523">
        <v>1</v>
      </c>
      <c r="F116" s="120">
        <f t="shared" si="27"/>
        <v>0</v>
      </c>
      <c r="G116" s="134">
        <f t="array" ref="G116">IF(E116=0,0,IF(E116=1,D116*$G$2,D116*$G$2*2))</f>
        <v>28</v>
      </c>
      <c r="H116" s="134">
        <f t="array" ref="H116">IF(E116&gt;2,D116*(E116-2)*$H$2,0)</f>
        <v>0</v>
      </c>
      <c r="I116" s="123">
        <f>SUM(F116:H116)</f>
        <v>28</v>
      </c>
      <c r="J116" s="13" t="s">
        <v>30</v>
      </c>
      <c r="K116" s="125"/>
      <c r="L116" s="13"/>
      <c r="M116" s="125"/>
      <c r="N116" s="125"/>
    </row>
    <row r="117" spans="1:14" s="125" customFormat="1" x14ac:dyDescent="0.3">
      <c r="A117" s="27" t="s">
        <v>145</v>
      </c>
      <c r="B117" s="27">
        <v>0</v>
      </c>
      <c r="C117" s="26">
        <v>0</v>
      </c>
      <c r="D117" s="13">
        <v>28</v>
      </c>
      <c r="E117" s="523">
        <v>0</v>
      </c>
      <c r="F117" s="120">
        <f t="shared" si="27"/>
        <v>0</v>
      </c>
      <c r="G117" s="134">
        <f t="array" ref="G117">IF(E117=0,0,IF(E117=1,D117*$G$2,D117*$G$2*2))</f>
        <v>0</v>
      </c>
      <c r="H117" s="134">
        <f t="array" ref="H117">IF(E117&gt;2,D117*(E117-2)*$H$2,0)</f>
        <v>0</v>
      </c>
      <c r="I117" s="123">
        <f t="shared" ref="I117:I119" si="30">SUM(F117:H117)</f>
        <v>0</v>
      </c>
      <c r="J117" s="13" t="s">
        <v>30</v>
      </c>
      <c r="K117" s="27"/>
      <c r="L117" s="13"/>
      <c r="M117" s="27"/>
      <c r="N117" s="27"/>
    </row>
    <row r="118" spans="1:14" s="27" customFormat="1" x14ac:dyDescent="0.3">
      <c r="A118" s="27" t="s">
        <v>631</v>
      </c>
      <c r="B118" s="27">
        <v>5</v>
      </c>
      <c r="C118" s="26">
        <v>28</v>
      </c>
      <c r="D118" s="13">
        <v>28</v>
      </c>
      <c r="E118" s="523">
        <v>1</v>
      </c>
      <c r="F118" s="120">
        <f t="shared" si="27"/>
        <v>33.6</v>
      </c>
      <c r="G118" s="134">
        <f t="array" ref="G118">IF(E118=0,0,IF(E118=1,D118*$G$2,D118*$G$2*2))</f>
        <v>28</v>
      </c>
      <c r="H118" s="134">
        <f t="array" ref="H118">IF(E118&gt;2,D118*(E118-2)*$H$2,0)</f>
        <v>0</v>
      </c>
      <c r="I118" s="123">
        <f t="shared" si="30"/>
        <v>61.6</v>
      </c>
      <c r="J118" s="13" t="s">
        <v>30</v>
      </c>
      <c r="L118" s="13"/>
    </row>
    <row r="119" spans="1:14" s="27" customFormat="1" x14ac:dyDescent="0.3">
      <c r="A119" s="1039" t="s">
        <v>632</v>
      </c>
      <c r="B119" s="1039">
        <v>37</v>
      </c>
      <c r="C119" s="26">
        <v>20</v>
      </c>
      <c r="D119" s="13">
        <v>20</v>
      </c>
      <c r="E119" s="523">
        <v>2</v>
      </c>
      <c r="F119" s="120">
        <f t="shared" si="27"/>
        <v>24</v>
      </c>
      <c r="G119" s="134">
        <f t="array" ref="G119">IF(E119=0,0,IF(E119=1,D119*$G$2,D119*$G$2*2))</f>
        <v>40</v>
      </c>
      <c r="H119" s="134">
        <f t="array" ref="H119">IF(E119&gt;2,D119*(E119-2)*$H$2,0)</f>
        <v>0</v>
      </c>
      <c r="I119" s="123">
        <f t="shared" si="30"/>
        <v>64</v>
      </c>
      <c r="J119" s="13" t="s">
        <v>30</v>
      </c>
      <c r="L119" s="13"/>
    </row>
    <row r="120" spans="1:14" s="27" customFormat="1" x14ac:dyDescent="0.3">
      <c r="A120" s="125" t="s">
        <v>633</v>
      </c>
      <c r="B120" s="125">
        <v>6</v>
      </c>
      <c r="C120" s="26">
        <v>20</v>
      </c>
      <c r="D120" s="13">
        <v>20</v>
      </c>
      <c r="E120" s="523">
        <v>1</v>
      </c>
      <c r="F120" s="120">
        <f t="shared" si="27"/>
        <v>24</v>
      </c>
      <c r="G120" s="134">
        <f t="array" ref="G120">IF(E120=0,0,IF(E120=1,D120*$G$2,D120*$G$2*2))</f>
        <v>20</v>
      </c>
      <c r="H120" s="134">
        <f t="array" ref="H120">IF(E120&gt;2,D120*(E120-2)*$H$2,0)</f>
        <v>0</v>
      </c>
      <c r="I120" s="123">
        <f>SUM(F120:H120)</f>
        <v>44</v>
      </c>
      <c r="J120" s="13" t="s">
        <v>30</v>
      </c>
      <c r="L120" s="13"/>
    </row>
    <row r="121" spans="1:14" s="27" customFormat="1" x14ac:dyDescent="0.3">
      <c r="A121" s="125" t="s">
        <v>499</v>
      </c>
      <c r="B121" s="125">
        <v>0</v>
      </c>
      <c r="C121" s="26">
        <v>0</v>
      </c>
      <c r="D121" s="13">
        <v>20</v>
      </c>
      <c r="E121" s="523">
        <v>0</v>
      </c>
      <c r="F121" s="120">
        <f t="shared" si="27"/>
        <v>0</v>
      </c>
      <c r="G121" s="134">
        <f t="array" ref="G121">IF(E121=0,0,IF(E121=1,D121*$G$2,D121*$G$2*2))</f>
        <v>0</v>
      </c>
      <c r="H121" s="134">
        <f t="array" ref="H121">IF(E121&gt;2,D121*(E121-2)*$H$2,0)</f>
        <v>0</v>
      </c>
      <c r="I121" s="123">
        <f t="shared" ref="I121:I122" si="31">SUM(F121:H121)</f>
        <v>0</v>
      </c>
      <c r="J121" s="13" t="s">
        <v>30</v>
      </c>
      <c r="L121" s="13"/>
    </row>
    <row r="122" spans="1:14" s="27" customFormat="1" x14ac:dyDescent="0.3">
      <c r="A122" s="125" t="s">
        <v>481</v>
      </c>
      <c r="B122" s="125">
        <v>21</v>
      </c>
      <c r="C122" s="26">
        <v>20</v>
      </c>
      <c r="D122" s="13">
        <v>20</v>
      </c>
      <c r="E122" s="523">
        <v>1</v>
      </c>
      <c r="F122" s="120">
        <f t="shared" si="27"/>
        <v>24</v>
      </c>
      <c r="G122" s="134">
        <f t="array" ref="G122">IF(E122=0,0,IF(E122=1,D122*$G$2,D122*$G$2*2))</f>
        <v>20</v>
      </c>
      <c r="H122" s="134">
        <f t="array" ref="H122">IF(E122&gt;2,D122*(E122-2)*$H$2,0)</f>
        <v>0</v>
      </c>
      <c r="I122" s="123">
        <f t="shared" si="31"/>
        <v>44</v>
      </c>
      <c r="J122" s="13" t="s">
        <v>30</v>
      </c>
      <c r="L122" s="22"/>
    </row>
    <row r="123" spans="1:14" s="27" customFormat="1" x14ac:dyDescent="0.3">
      <c r="A123" s="125" t="s">
        <v>634</v>
      </c>
      <c r="B123" s="125">
        <v>42</v>
      </c>
      <c r="C123" s="26">
        <v>20</v>
      </c>
      <c r="D123" s="13">
        <v>20</v>
      </c>
      <c r="E123" s="523">
        <v>4</v>
      </c>
      <c r="F123" s="120">
        <f t="shared" si="27"/>
        <v>24</v>
      </c>
      <c r="G123" s="134">
        <f t="array" ref="G123">IF(E123=0,0,IF(E123=1,D123*$G$2,D123*$G$2*2))</f>
        <v>40</v>
      </c>
      <c r="H123" s="134">
        <f t="array" ref="H123">IF(E123&gt;2,D123*(E123-2)*$H$2,0)</f>
        <v>32</v>
      </c>
      <c r="I123" s="123">
        <f>SUM(F123:H123)</f>
        <v>96</v>
      </c>
      <c r="J123" s="13" t="s">
        <v>30</v>
      </c>
      <c r="L123" s="22"/>
    </row>
    <row r="124" spans="1:14" s="27" customFormat="1" x14ac:dyDescent="0.3">
      <c r="A124" s="125" t="s">
        <v>635</v>
      </c>
      <c r="B124" s="1035">
        <v>2</v>
      </c>
      <c r="C124" s="26">
        <v>0</v>
      </c>
      <c r="D124" s="13">
        <v>20</v>
      </c>
      <c r="E124" s="523">
        <v>1</v>
      </c>
      <c r="F124" s="120">
        <f t="shared" si="27"/>
        <v>0</v>
      </c>
      <c r="G124" s="134">
        <f t="array" ref="G124">IF(E124=0,0,IF(E124=1,D124*$G$2,D124*$G$2*2))</f>
        <v>20</v>
      </c>
      <c r="H124" s="134">
        <f t="array" ref="H124">IF(E124&gt;2,D124*(E124-2)*$H$2,0)</f>
        <v>0</v>
      </c>
      <c r="I124" s="123">
        <f>SUM(F124:H124)</f>
        <v>20</v>
      </c>
      <c r="J124" s="13" t="s">
        <v>30</v>
      </c>
      <c r="L124" s="22"/>
    </row>
    <row r="125" spans="1:14" s="27" customFormat="1" x14ac:dyDescent="0.3">
      <c r="A125" s="125" t="s">
        <v>636</v>
      </c>
      <c r="B125" s="125">
        <v>12</v>
      </c>
      <c r="C125" s="26">
        <v>20</v>
      </c>
      <c r="D125" s="13">
        <v>20</v>
      </c>
      <c r="E125" s="523">
        <v>1</v>
      </c>
      <c r="F125" s="120">
        <f t="shared" si="27"/>
        <v>24</v>
      </c>
      <c r="G125" s="134">
        <f t="array" ref="G125">IF(E125=0,0,IF(E125=1,D125*$G$2,D125*$G$2*2))</f>
        <v>20</v>
      </c>
      <c r="H125" s="134">
        <f t="array" ref="H125">IF(E125&gt;2,D125*(E125-2)*$H$2,0)</f>
        <v>0</v>
      </c>
      <c r="I125" s="123">
        <f t="shared" ref="I125:I126" si="32">SUM(F125:H125)</f>
        <v>44</v>
      </c>
      <c r="J125" s="13" t="s">
        <v>30</v>
      </c>
      <c r="L125" s="13"/>
    </row>
    <row r="126" spans="1:14" s="27" customFormat="1" x14ac:dyDescent="0.3">
      <c r="A126" s="125" t="s">
        <v>328</v>
      </c>
      <c r="B126" s="125">
        <v>0</v>
      </c>
      <c r="C126" s="26">
        <v>0</v>
      </c>
      <c r="D126" s="13">
        <v>20</v>
      </c>
      <c r="E126" s="523">
        <v>0</v>
      </c>
      <c r="F126" s="120">
        <f t="shared" si="27"/>
        <v>0</v>
      </c>
      <c r="G126" s="134">
        <f t="array" ref="G126">IF(E126=0,0,IF(E126=1,D126*$G$2,D126*$G$2*2))</f>
        <v>0</v>
      </c>
      <c r="H126" s="134">
        <f t="array" ref="H126">IF(E126&gt;2,D126*(E126-2)*$H$2,0)</f>
        <v>0</v>
      </c>
      <c r="I126" s="123">
        <f t="shared" si="32"/>
        <v>0</v>
      </c>
      <c r="J126" s="13" t="s">
        <v>30</v>
      </c>
      <c r="L126" s="13"/>
    </row>
    <row r="127" spans="1:14" s="27" customFormat="1" x14ac:dyDescent="0.3">
      <c r="A127" s="125" t="s">
        <v>637</v>
      </c>
      <c r="B127" s="125">
        <v>37</v>
      </c>
      <c r="C127" s="26">
        <v>20</v>
      </c>
      <c r="D127" s="13">
        <v>20</v>
      </c>
      <c r="E127" s="523">
        <v>3</v>
      </c>
      <c r="F127" s="120">
        <f t="shared" si="27"/>
        <v>24</v>
      </c>
      <c r="G127" s="134">
        <f t="array" ref="G127">IF(E127=0,0,IF(E127=1,D127*$G$2,D127*$G$2*2))</f>
        <v>40</v>
      </c>
      <c r="H127" s="134">
        <f t="array" ref="H127">IF(E127&gt;2,D127*(E127-2)*$H$2,0)</f>
        <v>16</v>
      </c>
      <c r="I127" s="123">
        <f>SUM(F127:H127)</f>
        <v>80</v>
      </c>
      <c r="J127" s="13" t="s">
        <v>30</v>
      </c>
      <c r="L127" s="13"/>
    </row>
    <row r="128" spans="1:14" s="27" customFormat="1" x14ac:dyDescent="0.3">
      <c r="A128" s="125" t="s">
        <v>638</v>
      </c>
      <c r="B128" s="125">
        <v>18</v>
      </c>
      <c r="C128" s="26">
        <v>20</v>
      </c>
      <c r="D128" s="13">
        <v>20</v>
      </c>
      <c r="E128" s="523">
        <v>1</v>
      </c>
      <c r="F128" s="143">
        <f t="shared" si="27"/>
        <v>24</v>
      </c>
      <c r="G128" s="134">
        <f t="array" ref="G128">IF(E128=0,0,IF(E128=1,D128*$G$2,D128*$G$2*2))</f>
        <v>20</v>
      </c>
      <c r="H128" s="134">
        <f t="array" ref="H128">IF(E128&gt;2,D128*(E128-2)*$H$2,0)</f>
        <v>0</v>
      </c>
      <c r="I128" s="89">
        <f>SUM(F128:H128)</f>
        <v>44</v>
      </c>
      <c r="J128" s="13" t="s">
        <v>30</v>
      </c>
      <c r="L128" s="13"/>
    </row>
    <row r="129" spans="1:14" s="27" customFormat="1" x14ac:dyDescent="0.3">
      <c r="A129" s="125" t="s">
        <v>639</v>
      </c>
      <c r="B129" s="125">
        <v>6</v>
      </c>
      <c r="C129" s="26">
        <v>20</v>
      </c>
      <c r="D129" s="13">
        <v>20</v>
      </c>
      <c r="E129" s="523">
        <v>1</v>
      </c>
      <c r="F129" s="120">
        <f t="shared" si="27"/>
        <v>24</v>
      </c>
      <c r="G129" s="134">
        <f t="array" ref="G129">IF(E129=0,0,IF(E129=1,D129*$G$2,D129*$G$2*2))</f>
        <v>20</v>
      </c>
      <c r="H129" s="134">
        <f t="array" ref="H129">IF(E129&gt;2,D129*(E129-2)*$H$2,0)</f>
        <v>0</v>
      </c>
      <c r="I129" s="123">
        <f>SUM(F129:H129)</f>
        <v>44</v>
      </c>
      <c r="J129" s="13" t="s">
        <v>30</v>
      </c>
      <c r="L129" s="13"/>
    </row>
    <row r="130" spans="1:14" s="27" customFormat="1" x14ac:dyDescent="0.3">
      <c r="A130" s="125" t="s">
        <v>482</v>
      </c>
      <c r="B130" s="125">
        <v>10</v>
      </c>
      <c r="C130" s="26">
        <v>20</v>
      </c>
      <c r="D130" s="13">
        <v>20</v>
      </c>
      <c r="E130" s="523">
        <v>1</v>
      </c>
      <c r="F130" s="120">
        <f t="shared" si="27"/>
        <v>24</v>
      </c>
      <c r="G130" s="134">
        <f t="array" ref="G130">IF(E130=0,0,IF(E130=1,D130*$G$2,D130*$G$2*2))</f>
        <v>20</v>
      </c>
      <c r="H130" s="134">
        <f t="array" ref="H130">IF(E130&gt;2,D130*(E130-2)*$H$2,0)</f>
        <v>0</v>
      </c>
      <c r="I130" s="123">
        <f t="shared" ref="I130:I132" si="33">SUM(F130:H130)</f>
        <v>44</v>
      </c>
      <c r="J130" s="13" t="s">
        <v>30</v>
      </c>
      <c r="L130" s="13"/>
    </row>
    <row r="131" spans="1:14" s="27" customFormat="1" x14ac:dyDescent="0.3">
      <c r="A131" s="125" t="s">
        <v>640</v>
      </c>
      <c r="B131" s="125">
        <v>12</v>
      </c>
      <c r="C131" s="26">
        <v>20</v>
      </c>
      <c r="D131" s="13">
        <v>20</v>
      </c>
      <c r="E131" s="523">
        <v>1</v>
      </c>
      <c r="F131" s="120">
        <f t="shared" si="27"/>
        <v>24</v>
      </c>
      <c r="G131" s="134">
        <f t="array" ref="G131">IF(E131=0,0,IF(E131=1,D131*$G$2,D131*$G$2*2))</f>
        <v>20</v>
      </c>
      <c r="H131" s="134">
        <f t="array" ref="H131">IF(E131&gt;2,D131*(E131-2)*$H$2,0)</f>
        <v>0</v>
      </c>
      <c r="I131" s="123">
        <f t="shared" si="33"/>
        <v>44</v>
      </c>
      <c r="J131" s="13" t="s">
        <v>30</v>
      </c>
      <c r="L131" s="13"/>
    </row>
    <row r="132" spans="1:14" s="27" customFormat="1" x14ac:dyDescent="0.3">
      <c r="A132" s="142" t="s">
        <v>641</v>
      </c>
      <c r="B132" s="1040">
        <v>2</v>
      </c>
      <c r="C132" s="26">
        <v>0</v>
      </c>
      <c r="D132" s="13">
        <v>20</v>
      </c>
      <c r="E132" s="523">
        <v>1</v>
      </c>
      <c r="F132" s="120">
        <f t="shared" si="27"/>
        <v>0</v>
      </c>
      <c r="G132" s="134">
        <f t="array" ref="G132">IF(E132=0,0,IF(E132=1,D132*$G$2,D132*$G$2*2))</f>
        <v>20</v>
      </c>
      <c r="H132" s="134">
        <f t="array" ref="H132">IF(E132&gt;2,D132*(E132-2)*$H$2,0)</f>
        <v>0</v>
      </c>
      <c r="I132" s="123">
        <f t="shared" si="33"/>
        <v>20</v>
      </c>
      <c r="J132" s="13" t="s">
        <v>30</v>
      </c>
      <c r="L132" s="13"/>
    </row>
    <row r="133" spans="1:14" s="27" customFormat="1" x14ac:dyDescent="0.3">
      <c r="A133" s="142" t="s">
        <v>642</v>
      </c>
      <c r="B133" s="142">
        <v>54</v>
      </c>
      <c r="C133" s="26">
        <v>20</v>
      </c>
      <c r="D133" s="13">
        <v>20</v>
      </c>
      <c r="E133" s="523">
        <v>3</v>
      </c>
      <c r="F133" s="120">
        <f t="shared" si="27"/>
        <v>24</v>
      </c>
      <c r="G133" s="134">
        <f t="array" ref="G133">IF(E133=0,0,IF(E133=1,D133*$G$2,D133*$G$2*2))</f>
        <v>40</v>
      </c>
      <c r="H133" s="134">
        <f t="array" ref="H133">IF(E133&gt;2,D133*(E133-2)*$H$2,0)</f>
        <v>16</v>
      </c>
      <c r="I133" s="123">
        <f>SUM(F133:H133)</f>
        <v>80</v>
      </c>
      <c r="J133" s="13" t="s">
        <v>30</v>
      </c>
      <c r="L133" s="13"/>
    </row>
    <row r="134" spans="1:14" s="27" customFormat="1" x14ac:dyDescent="0.3">
      <c r="A134" s="1039" t="s">
        <v>643</v>
      </c>
      <c r="B134" s="1039">
        <v>7</v>
      </c>
      <c r="C134" s="26">
        <v>28</v>
      </c>
      <c r="D134" s="13">
        <v>28</v>
      </c>
      <c r="E134" s="523">
        <v>1</v>
      </c>
      <c r="F134" s="120">
        <f t="shared" si="27"/>
        <v>33.6</v>
      </c>
      <c r="G134" s="134">
        <f t="array" ref="G134">IF(E134=0,0,IF(E134=1,D134*$G$2,D134*$G$2*2))</f>
        <v>28</v>
      </c>
      <c r="H134" s="134">
        <f t="array" ref="H134">IF(E134&gt;2,D134*(E134-2)*$H$2,0)</f>
        <v>0</v>
      </c>
      <c r="I134" s="123">
        <f t="shared" ref="I134" si="34">SUM(F134:H134)</f>
        <v>61.6</v>
      </c>
      <c r="J134" s="13" t="s">
        <v>30</v>
      </c>
      <c r="K134" s="19"/>
      <c r="L134" s="138"/>
      <c r="M134" s="19"/>
      <c r="N134" s="19"/>
    </row>
    <row r="135" spans="1:14" s="27" customFormat="1" x14ac:dyDescent="0.3">
      <c r="A135" s="1039" t="s">
        <v>644</v>
      </c>
      <c r="B135" s="1039">
        <v>4</v>
      </c>
      <c r="C135" s="26">
        <v>4</v>
      </c>
      <c r="D135" s="13">
        <v>4</v>
      </c>
      <c r="E135" s="523">
        <v>1</v>
      </c>
      <c r="F135" s="120">
        <f t="shared" si="27"/>
        <v>4.8</v>
      </c>
      <c r="G135" s="134">
        <f t="array" ref="G135">IF(E135=0,0,IF(E135=1,D135*$G$2,D135*$G$2*2))</f>
        <v>4</v>
      </c>
      <c r="H135" s="134">
        <f t="array" ref="H135">IF(E135&gt;2,D135*(E135-2)*$H$2,0)</f>
        <v>0</v>
      </c>
      <c r="I135" s="123">
        <f>SUM(F135:H135)</f>
        <v>8.8000000000000007</v>
      </c>
      <c r="J135" s="13" t="s">
        <v>30</v>
      </c>
      <c r="L135" s="13"/>
    </row>
    <row r="136" spans="1:14" s="19" customFormat="1" x14ac:dyDescent="0.3">
      <c r="A136" s="142" t="s">
        <v>483</v>
      </c>
      <c r="B136" s="142">
        <v>0</v>
      </c>
      <c r="C136" s="137">
        <v>0</v>
      </c>
      <c r="D136" s="137">
        <v>14</v>
      </c>
      <c r="E136" s="523">
        <v>0</v>
      </c>
      <c r="F136" s="120">
        <f t="shared" si="27"/>
        <v>0</v>
      </c>
      <c r="G136" s="134">
        <f t="array" ref="G136">IF(E136=0,0,IF(E136=1,D136*$G$2,D136*$G$2*2))</f>
        <v>0</v>
      </c>
      <c r="H136" s="134">
        <f t="array" ref="H136">IF(E136&gt;2,D136*(E136-2)*$H$2,0)</f>
        <v>0</v>
      </c>
      <c r="I136" s="123">
        <f t="shared" ref="I136" si="35">SUM(F136:H136)</f>
        <v>0</v>
      </c>
      <c r="J136" s="13" t="s">
        <v>30</v>
      </c>
      <c r="K136" s="27"/>
      <c r="L136" s="13"/>
      <c r="M136" s="27"/>
      <c r="N136" s="27"/>
    </row>
    <row r="137" spans="1:14" s="27" customFormat="1" x14ac:dyDescent="0.3">
      <c r="A137" s="142" t="s">
        <v>645</v>
      </c>
      <c r="B137" s="142">
        <v>9</v>
      </c>
      <c r="C137" s="137">
        <v>14</v>
      </c>
      <c r="D137" s="137">
        <v>14</v>
      </c>
      <c r="E137" s="523">
        <v>1</v>
      </c>
      <c r="F137" s="120">
        <f t="shared" si="27"/>
        <v>16.8</v>
      </c>
      <c r="G137" s="134">
        <f t="array" ref="G137">IF(E137=0,0,IF(E137=1,D137*$G$2,D137*$G$2*2))</f>
        <v>14</v>
      </c>
      <c r="H137" s="134">
        <f t="array" ref="H137">IF(E137&gt;2,D137*(E137-2)*$H$2,0)</f>
        <v>0</v>
      </c>
      <c r="I137" s="123">
        <f>SUM(F137:H137)</f>
        <v>30.8</v>
      </c>
      <c r="J137" s="13" t="s">
        <v>30</v>
      </c>
      <c r="L137" s="13"/>
    </row>
    <row r="138" spans="1:14" s="27" customFormat="1" ht="16.2" thickBot="1" x14ac:dyDescent="0.35">
      <c r="A138" s="142" t="s">
        <v>625</v>
      </c>
      <c r="B138" s="142">
        <v>8</v>
      </c>
      <c r="C138" s="144">
        <v>21</v>
      </c>
      <c r="D138" s="145">
        <v>14</v>
      </c>
      <c r="E138" s="523">
        <v>1</v>
      </c>
      <c r="F138" s="120">
        <f t="shared" si="27"/>
        <v>25.2</v>
      </c>
      <c r="G138" s="134">
        <f t="array" ref="G138">IF(E138=0,0,IF(E138=1,D138*$G$2,D138*$G$2*2))</f>
        <v>14</v>
      </c>
      <c r="H138" s="134">
        <f t="array" ref="H138">IF(E138&gt;2,D138*(E138-2)*$H$2,0)</f>
        <v>0</v>
      </c>
      <c r="I138" s="123">
        <f t="shared" ref="I138" si="36">SUM(F138:H138)</f>
        <v>39.200000000000003</v>
      </c>
      <c r="J138" s="13" t="s">
        <v>30</v>
      </c>
      <c r="L138" s="13"/>
    </row>
    <row r="139" spans="1:14" s="27" customFormat="1" ht="16.2" thickBot="1" x14ac:dyDescent="0.35">
      <c r="A139" s="51"/>
      <c r="B139" s="51"/>
      <c r="C139" s="90"/>
      <c r="D139" s="138"/>
      <c r="E139" s="146"/>
      <c r="F139" s="26"/>
      <c r="G139" s="26"/>
      <c r="H139" s="26"/>
      <c r="I139" s="135">
        <f>SUM(I110:I138)</f>
        <v>1164</v>
      </c>
      <c r="J139" s="23"/>
      <c r="L139" s="13"/>
    </row>
    <row r="140" spans="1:14" s="27" customFormat="1" ht="16.2" thickBot="1" x14ac:dyDescent="0.35">
      <c r="A140" s="19" t="s">
        <v>21</v>
      </c>
      <c r="B140" s="19"/>
      <c r="C140" s="84"/>
      <c r="D140" s="13"/>
      <c r="E140" s="26"/>
      <c r="F140" s="26"/>
      <c r="G140" s="26"/>
      <c r="H140" s="140" t="s">
        <v>135</v>
      </c>
      <c r="I140" s="135">
        <f>SUM(I139,I109,I82)</f>
        <v>4992.3999999999996</v>
      </c>
      <c r="J140" s="21"/>
      <c r="L140" s="13"/>
    </row>
    <row r="141" spans="1:14" s="27" customFormat="1" x14ac:dyDescent="0.3">
      <c r="A141" s="27" t="s">
        <v>646</v>
      </c>
      <c r="B141" s="27">
        <v>2</v>
      </c>
      <c r="C141" s="26">
        <v>28</v>
      </c>
      <c r="D141" s="13">
        <v>28</v>
      </c>
      <c r="E141" s="523">
        <v>1</v>
      </c>
      <c r="F141" s="120">
        <f t="shared" ref="F141:F178" si="37">IF(B141=0,0*C141*$F$2,C141*$F$2)</f>
        <v>33.6</v>
      </c>
      <c r="G141" s="141">
        <f t="array" ref="G141">IF(E141=0,0,IF(E141=1,D141*$G$3,D141*$G$3*2))</f>
        <v>28</v>
      </c>
      <c r="H141" s="141">
        <f t="array" ref="H141">IF(E141&gt;2,D141*(E141-2)*$H$3,0)</f>
        <v>0</v>
      </c>
      <c r="I141" s="123">
        <f t="shared" ref="I141:I178" si="38">SUM(F141:H141)</f>
        <v>61.6</v>
      </c>
      <c r="J141" s="20" t="s">
        <v>124</v>
      </c>
      <c r="L141" s="13"/>
    </row>
    <row r="142" spans="1:14" x14ac:dyDescent="0.3">
      <c r="A142" s="27" t="s">
        <v>647</v>
      </c>
      <c r="B142" s="27">
        <v>5</v>
      </c>
      <c r="C142" s="26">
        <v>42</v>
      </c>
      <c r="D142" s="13">
        <v>28</v>
      </c>
      <c r="E142" s="523">
        <v>1</v>
      </c>
      <c r="F142" s="120">
        <f t="shared" si="37"/>
        <v>50.4</v>
      </c>
      <c r="G142" s="141">
        <f t="array" ref="G142">IF(E142=0,0,IF(E142=1,D142*$G$3,D142*$G$3*2))</f>
        <v>28</v>
      </c>
      <c r="H142" s="141">
        <f t="array" ref="H142">IF(E142&gt;2,D142*(E142-2)*$H$3,0)</f>
        <v>0</v>
      </c>
      <c r="I142" s="123">
        <f t="shared" si="38"/>
        <v>78.400000000000006</v>
      </c>
      <c r="J142" s="20" t="s">
        <v>124</v>
      </c>
      <c r="K142" s="27"/>
      <c r="L142" s="13"/>
    </row>
    <row r="143" spans="1:14" s="27" customFormat="1" x14ac:dyDescent="0.3">
      <c r="A143" s="27" t="s">
        <v>648</v>
      </c>
      <c r="B143" s="27">
        <v>17</v>
      </c>
      <c r="C143" s="26">
        <v>28</v>
      </c>
      <c r="D143" s="13">
        <v>28</v>
      </c>
      <c r="E143" s="523">
        <v>2</v>
      </c>
      <c r="F143" s="120">
        <f t="shared" si="37"/>
        <v>33.6</v>
      </c>
      <c r="G143" s="141">
        <f t="array" ref="G143">IF(E143=0,0,IF(E143=1,D143*$G$3,D143*$G$3*2))</f>
        <v>56</v>
      </c>
      <c r="H143" s="141">
        <f t="array" ref="H143">IF(E143&gt;2,D143*(E143-2)*$H$3,0)</f>
        <v>0</v>
      </c>
      <c r="I143" s="123">
        <f t="shared" si="38"/>
        <v>89.6</v>
      </c>
      <c r="J143" s="20" t="s">
        <v>124</v>
      </c>
      <c r="L143" s="13"/>
    </row>
    <row r="144" spans="1:14" s="27" customFormat="1" x14ac:dyDescent="0.3">
      <c r="A144" s="27" t="s">
        <v>649</v>
      </c>
      <c r="B144" s="27">
        <v>5</v>
      </c>
      <c r="C144" s="26">
        <v>0</v>
      </c>
      <c r="D144" s="13">
        <v>28</v>
      </c>
      <c r="E144" s="523">
        <v>2</v>
      </c>
      <c r="F144" s="120">
        <f t="shared" si="37"/>
        <v>0</v>
      </c>
      <c r="G144" s="141">
        <f t="array" ref="G144">IF(E144=0,0,IF(E144=1,D144*$G$3,D144*$G$3*2))</f>
        <v>56</v>
      </c>
      <c r="H144" s="141">
        <f t="array" ref="H144">IF(E144&gt;2,D144*(E144-2)*$H$3,0)</f>
        <v>0</v>
      </c>
      <c r="I144" s="123">
        <f t="shared" si="38"/>
        <v>56</v>
      </c>
      <c r="J144" s="20" t="s">
        <v>124</v>
      </c>
      <c r="K144" s="27" t="s">
        <v>455</v>
      </c>
      <c r="L144" s="13"/>
      <c r="M144" s="1"/>
      <c r="N144" s="1"/>
    </row>
    <row r="145" spans="1:14" s="27" customFormat="1" x14ac:dyDescent="0.3">
      <c r="A145" s="27" t="s">
        <v>650</v>
      </c>
      <c r="B145" s="27">
        <v>11</v>
      </c>
      <c r="C145" s="26">
        <v>28</v>
      </c>
      <c r="D145" s="13">
        <v>56</v>
      </c>
      <c r="E145" s="523">
        <v>1</v>
      </c>
      <c r="F145" s="120">
        <f t="shared" si="37"/>
        <v>33.6</v>
      </c>
      <c r="G145" s="141">
        <f t="array" ref="G145">IF(E145=0,0,IF(E145=1,D145*$G$3,D145*$G$3*2))</f>
        <v>56</v>
      </c>
      <c r="H145" s="141">
        <f t="array" ref="H145">IF(E145&gt;2,D145*(E145-2)*$H$3,0)</f>
        <v>0</v>
      </c>
      <c r="I145" s="123">
        <f t="shared" si="38"/>
        <v>89.6</v>
      </c>
      <c r="J145" s="20" t="s">
        <v>124</v>
      </c>
      <c r="L145" s="13"/>
    </row>
    <row r="146" spans="1:14" s="27" customFormat="1" x14ac:dyDescent="0.3">
      <c r="A146" s="27" t="s">
        <v>651</v>
      </c>
      <c r="B146" s="27">
        <v>16</v>
      </c>
      <c r="C146" s="26">
        <v>28</v>
      </c>
      <c r="D146" s="13">
        <v>28</v>
      </c>
      <c r="E146" s="523">
        <v>1</v>
      </c>
      <c r="F146" s="120">
        <f t="shared" si="37"/>
        <v>33.6</v>
      </c>
      <c r="G146" s="141">
        <f t="array" ref="G146">IF(E146=0,0,IF(E146=1,D146*$G$3,D146*$G$3*2))</f>
        <v>28</v>
      </c>
      <c r="H146" s="141">
        <f t="array" ref="H146">IF(E146&gt;2,D146*(E146-2)*$H$3,0)</f>
        <v>0</v>
      </c>
      <c r="I146" s="123">
        <f t="shared" si="38"/>
        <v>61.6</v>
      </c>
      <c r="J146" s="20" t="s">
        <v>124</v>
      </c>
      <c r="L146" s="13"/>
    </row>
    <row r="147" spans="1:14" s="27" customFormat="1" x14ac:dyDescent="0.3">
      <c r="A147" s="27" t="s">
        <v>652</v>
      </c>
      <c r="B147" s="27">
        <v>8</v>
      </c>
      <c r="C147" s="26">
        <v>28</v>
      </c>
      <c r="D147" s="13">
        <v>0</v>
      </c>
      <c r="E147" s="523">
        <v>1</v>
      </c>
      <c r="F147" s="120">
        <f t="shared" si="37"/>
        <v>33.6</v>
      </c>
      <c r="G147" s="141">
        <f t="array" ref="G147">IF(E147=0,0,IF(E147=1,D147*$G$3,D147*$G$3*2))</f>
        <v>0</v>
      </c>
      <c r="H147" s="141">
        <f t="array" ref="H147">IF(E147&gt;2,D147*(E147-2)*$H$3,0)</f>
        <v>0</v>
      </c>
      <c r="I147" s="123">
        <f t="shared" si="38"/>
        <v>33.6</v>
      </c>
      <c r="J147" s="20" t="s">
        <v>124</v>
      </c>
      <c r="L147" s="13"/>
    </row>
    <row r="148" spans="1:14" s="27" customFormat="1" x14ac:dyDescent="0.3">
      <c r="A148" s="27" t="s">
        <v>484</v>
      </c>
      <c r="B148" s="27">
        <v>0</v>
      </c>
      <c r="C148" s="26">
        <v>0</v>
      </c>
      <c r="D148" s="13">
        <v>14</v>
      </c>
      <c r="E148" s="523">
        <v>0</v>
      </c>
      <c r="F148" s="120">
        <f t="shared" si="37"/>
        <v>0</v>
      </c>
      <c r="G148" s="141">
        <f t="array" ref="G148">IF(E148=0,0,IF(E148=1,D148*$G$3,D148*$G$3*2))</f>
        <v>0</v>
      </c>
      <c r="H148" s="141">
        <f t="array" ref="H148">IF(E148&gt;2,D148*(E148-2)*$H$3,0)</f>
        <v>0</v>
      </c>
      <c r="I148" s="123">
        <f t="shared" si="38"/>
        <v>0</v>
      </c>
      <c r="J148" s="20" t="s">
        <v>124</v>
      </c>
      <c r="L148" s="13"/>
    </row>
    <row r="149" spans="1:14" s="27" customFormat="1" x14ac:dyDescent="0.3">
      <c r="A149" s="1038" t="s">
        <v>653</v>
      </c>
      <c r="B149" s="1039">
        <v>6</v>
      </c>
      <c r="C149" s="26">
        <v>0</v>
      </c>
      <c r="D149" s="13">
        <v>28</v>
      </c>
      <c r="E149" s="523">
        <v>1</v>
      </c>
      <c r="F149" s="120">
        <f t="shared" si="37"/>
        <v>0</v>
      </c>
      <c r="G149" s="141">
        <f t="array" ref="G149">IF(E149=0,0,IF(E149=1,D149*$G$3,D149*$G$3*2))</f>
        <v>28</v>
      </c>
      <c r="H149" s="141">
        <f t="array" ref="H149">IF(E149&gt;2,D149*(E149-2)*$H$3,0)</f>
        <v>0</v>
      </c>
      <c r="I149" s="123">
        <f t="shared" si="38"/>
        <v>28</v>
      </c>
      <c r="J149" s="20" t="s">
        <v>124</v>
      </c>
      <c r="K149" s="27" t="s">
        <v>455</v>
      </c>
      <c r="L149" s="22"/>
    </row>
    <row r="150" spans="1:14" s="27" customFormat="1" x14ac:dyDescent="0.3">
      <c r="A150" s="1038" t="s">
        <v>654</v>
      </c>
      <c r="B150" s="1039">
        <v>7</v>
      </c>
      <c r="C150" s="26">
        <v>28</v>
      </c>
      <c r="D150" s="13">
        <v>56</v>
      </c>
      <c r="E150" s="523">
        <v>1</v>
      </c>
      <c r="F150" s="120">
        <f t="shared" si="37"/>
        <v>33.6</v>
      </c>
      <c r="G150" s="141">
        <f t="array" ref="G150">IF(E150=0,0,IF(E150=1,D150*$G$3,D150*$G$3*2))</f>
        <v>56</v>
      </c>
      <c r="H150" s="141">
        <f t="array" ref="H150">IF(E150&gt;2,D150*(E150-2)*$H$3,0)</f>
        <v>0</v>
      </c>
      <c r="I150" s="123">
        <f t="shared" si="38"/>
        <v>89.6</v>
      </c>
      <c r="J150" s="20" t="s">
        <v>124</v>
      </c>
      <c r="L150" s="13"/>
    </row>
    <row r="151" spans="1:14" s="27" customFormat="1" x14ac:dyDescent="0.3">
      <c r="A151" s="1038" t="s">
        <v>655</v>
      </c>
      <c r="B151" s="1039">
        <v>6</v>
      </c>
      <c r="C151" s="26">
        <v>14</v>
      </c>
      <c r="D151" s="13">
        <v>42</v>
      </c>
      <c r="E151" s="523">
        <v>1</v>
      </c>
      <c r="F151" s="120">
        <f t="shared" si="37"/>
        <v>16.8</v>
      </c>
      <c r="G151" s="141">
        <f t="array" ref="G151">IF(E151=0,0,IF(E151=1,D151*$G$3,D151*$G$3*2))</f>
        <v>42</v>
      </c>
      <c r="H151" s="141">
        <f t="array" ref="H151">IF(E151&gt;2,D151*(E151-2)*$H$3,0)</f>
        <v>0</v>
      </c>
      <c r="I151" s="123">
        <f t="shared" si="38"/>
        <v>58.8</v>
      </c>
      <c r="J151" s="20" t="s">
        <v>124</v>
      </c>
      <c r="L151" s="13"/>
    </row>
    <row r="152" spans="1:14" s="27" customFormat="1" x14ac:dyDescent="0.3">
      <c r="A152" s="125" t="s">
        <v>656</v>
      </c>
      <c r="B152" s="125">
        <v>10</v>
      </c>
      <c r="C152" s="26">
        <v>28</v>
      </c>
      <c r="D152" s="13">
        <v>28</v>
      </c>
      <c r="E152" s="523">
        <v>1</v>
      </c>
      <c r="F152" s="120">
        <f t="shared" si="37"/>
        <v>33.6</v>
      </c>
      <c r="G152" s="141">
        <f t="array" ref="G152">IF(E152=0,0,IF(E152=1,D152*$G$3,D152*$G$3*2))</f>
        <v>28</v>
      </c>
      <c r="H152" s="141">
        <f t="array" ref="H152">IF(E152&gt;2,D152*(E152-2)*$H$3,0)</f>
        <v>0</v>
      </c>
      <c r="I152" s="123">
        <f t="shared" si="38"/>
        <v>61.6</v>
      </c>
      <c r="J152" s="20" t="s">
        <v>124</v>
      </c>
      <c r="L152" s="13"/>
    </row>
    <row r="153" spans="1:14" x14ac:dyDescent="0.3">
      <c r="A153" s="125" t="s">
        <v>657</v>
      </c>
      <c r="B153" s="125">
        <v>6</v>
      </c>
      <c r="C153" s="26">
        <v>28</v>
      </c>
      <c r="D153" s="13">
        <v>28</v>
      </c>
      <c r="E153" s="523">
        <v>1</v>
      </c>
      <c r="F153" s="120">
        <f t="shared" si="37"/>
        <v>33.6</v>
      </c>
      <c r="G153" s="141">
        <f t="array" ref="G153">IF(E153=0,0,IF(E153=1,D153*$G$3,D153*$G$3*2))</f>
        <v>28</v>
      </c>
      <c r="H153" s="141">
        <f t="array" ref="H153">IF(E153&gt;2,D153*(E153-2)*$H$3,0)</f>
        <v>0</v>
      </c>
      <c r="I153" s="123">
        <f t="shared" si="38"/>
        <v>61.6</v>
      </c>
      <c r="J153" s="20" t="s">
        <v>124</v>
      </c>
      <c r="K153" s="27"/>
      <c r="L153" s="13"/>
      <c r="M153" s="27"/>
      <c r="N153" s="27"/>
    </row>
    <row r="154" spans="1:14" s="27" customFormat="1" x14ac:dyDescent="0.3">
      <c r="A154" s="125" t="s">
        <v>658</v>
      </c>
      <c r="B154" s="125">
        <v>4</v>
      </c>
      <c r="C154" s="26">
        <v>28</v>
      </c>
      <c r="D154" s="13">
        <v>28</v>
      </c>
      <c r="E154" s="523">
        <v>1</v>
      </c>
      <c r="F154" s="120">
        <f t="shared" si="37"/>
        <v>33.6</v>
      </c>
      <c r="G154" s="141">
        <f t="array" ref="G154">IF(E154=0,0,IF(E154=1,D154*$G$3,D154*$G$3*2))</f>
        <v>28</v>
      </c>
      <c r="H154" s="141">
        <f t="array" ref="H154">IF(E154&gt;2,D154*(E154-2)*$H$3,0)</f>
        <v>0</v>
      </c>
      <c r="I154" s="123">
        <f t="shared" si="38"/>
        <v>61.6</v>
      </c>
      <c r="J154" s="20" t="s">
        <v>124</v>
      </c>
      <c r="L154" s="13"/>
    </row>
    <row r="155" spans="1:14" s="27" customFormat="1" x14ac:dyDescent="0.3">
      <c r="A155" s="125" t="s">
        <v>659</v>
      </c>
      <c r="B155" s="125">
        <v>5</v>
      </c>
      <c r="C155" s="26">
        <v>28</v>
      </c>
      <c r="D155" s="13">
        <v>28</v>
      </c>
      <c r="E155" s="523">
        <v>1</v>
      </c>
      <c r="F155" s="120">
        <f t="shared" si="37"/>
        <v>33.6</v>
      </c>
      <c r="G155" s="141">
        <f t="array" ref="G155">IF(E155=0,0,IF(E155=1,D155*$G$3,D155*$G$3*2))</f>
        <v>28</v>
      </c>
      <c r="H155" s="141">
        <f t="array" ref="H155">IF(E155&gt;2,D155*(E155-2)*$H$3,0)</f>
        <v>0</v>
      </c>
      <c r="I155" s="123">
        <f t="shared" si="38"/>
        <v>61.6</v>
      </c>
      <c r="J155" s="20" t="s">
        <v>124</v>
      </c>
      <c r="L155" s="13"/>
    </row>
    <row r="156" spans="1:14" s="27" customFormat="1" x14ac:dyDescent="0.3">
      <c r="A156" s="125" t="s">
        <v>660</v>
      </c>
      <c r="B156" s="125">
        <v>6</v>
      </c>
      <c r="C156" s="26">
        <v>0</v>
      </c>
      <c r="D156" s="13">
        <v>56</v>
      </c>
      <c r="E156" s="523">
        <v>1</v>
      </c>
      <c r="F156" s="120">
        <f t="shared" si="37"/>
        <v>0</v>
      </c>
      <c r="G156" s="141">
        <f t="array" ref="G156">IF(E156=0,0,IF(E156=1,D156*$G$3,D156*$G$3*2))</f>
        <v>56</v>
      </c>
      <c r="H156" s="141">
        <f t="array" ref="H156">IF(E156&gt;2,D156*(E156-2)*$H$3,0)</f>
        <v>0</v>
      </c>
      <c r="I156" s="123">
        <f t="shared" si="38"/>
        <v>56</v>
      </c>
      <c r="J156" s="20" t="s">
        <v>124</v>
      </c>
      <c r="L156" s="13"/>
    </row>
    <row r="157" spans="1:14" s="27" customFormat="1" x14ac:dyDescent="0.3">
      <c r="A157" s="125" t="s">
        <v>661</v>
      </c>
      <c r="B157" s="125">
        <v>10</v>
      </c>
      <c r="C157" s="26">
        <v>28</v>
      </c>
      <c r="D157" s="13">
        <v>28</v>
      </c>
      <c r="E157" s="523">
        <v>4</v>
      </c>
      <c r="F157" s="120">
        <f t="shared" si="37"/>
        <v>33.6</v>
      </c>
      <c r="G157" s="141">
        <f t="array" ref="G157">IF(E157=0,0,IF(E157=1,D157*$G$3,D157*$G$3*2))</f>
        <v>56</v>
      </c>
      <c r="H157" s="141">
        <f t="array" ref="H157">IF(E157&gt;2,D157*(E157-2)*$H$3,0)</f>
        <v>44.800000000000004</v>
      </c>
      <c r="I157" s="123">
        <f t="shared" si="38"/>
        <v>134.4</v>
      </c>
      <c r="J157" s="20" t="s">
        <v>124</v>
      </c>
      <c r="L157" s="13"/>
    </row>
    <row r="158" spans="1:14" s="27" customFormat="1" x14ac:dyDescent="0.3">
      <c r="A158" s="125" t="s">
        <v>662</v>
      </c>
      <c r="B158" s="125">
        <v>6</v>
      </c>
      <c r="C158" s="26">
        <v>28</v>
      </c>
      <c r="D158" s="13">
        <v>28</v>
      </c>
      <c r="E158" s="523">
        <v>1</v>
      </c>
      <c r="F158" s="120">
        <f t="shared" si="37"/>
        <v>33.6</v>
      </c>
      <c r="G158" s="141">
        <f t="array" ref="G158">IF(E158=0,0,IF(E158=1,D158*$G$3,D158*$G$3*2))</f>
        <v>28</v>
      </c>
      <c r="H158" s="141">
        <f t="array" ref="H158">IF(E158&gt;2,D158*(E158-2)*$H$3,0)</f>
        <v>0</v>
      </c>
      <c r="I158" s="123">
        <f t="shared" si="38"/>
        <v>61.6</v>
      </c>
      <c r="J158" s="20" t="s">
        <v>124</v>
      </c>
      <c r="L158" s="13"/>
    </row>
    <row r="159" spans="1:14" s="27" customFormat="1" x14ac:dyDescent="0.3">
      <c r="A159" s="125" t="s">
        <v>663</v>
      </c>
      <c r="B159" s="125">
        <v>13</v>
      </c>
      <c r="C159" s="26">
        <v>28</v>
      </c>
      <c r="D159" s="13">
        <v>28</v>
      </c>
      <c r="E159" s="523">
        <v>1</v>
      </c>
      <c r="F159" s="120">
        <f t="shared" si="37"/>
        <v>33.6</v>
      </c>
      <c r="G159" s="141">
        <f t="array" ref="G159">IF(E159=0,0,IF(E159=1,D159*$G$3,D159*$G$3*2))</f>
        <v>28</v>
      </c>
      <c r="H159" s="141">
        <f t="array" ref="H159">IF(E159&gt;2,D159*(E159-2)*$H$3,0)</f>
        <v>0</v>
      </c>
      <c r="I159" s="123">
        <f t="shared" si="38"/>
        <v>61.6</v>
      </c>
      <c r="J159" s="20" t="s">
        <v>124</v>
      </c>
      <c r="L159" s="13"/>
    </row>
    <row r="160" spans="1:14" s="27" customFormat="1" x14ac:dyDescent="0.3">
      <c r="A160" s="142" t="s">
        <v>664</v>
      </c>
      <c r="B160" s="142">
        <v>19</v>
      </c>
      <c r="C160" s="26">
        <v>28</v>
      </c>
      <c r="D160" s="13">
        <v>28</v>
      </c>
      <c r="E160" s="523">
        <v>2</v>
      </c>
      <c r="F160" s="120">
        <f t="shared" si="37"/>
        <v>33.6</v>
      </c>
      <c r="G160" s="141">
        <f t="array" ref="G160">IF(E160=0,0,IF(E160=1,D160*$G$3,D160*$G$3*2))</f>
        <v>56</v>
      </c>
      <c r="H160" s="141">
        <f t="array" ref="H160">IF(E160&gt;2,D160*(E160-2)*$H$3,0)</f>
        <v>0</v>
      </c>
      <c r="I160" s="123">
        <f t="shared" si="38"/>
        <v>89.6</v>
      </c>
      <c r="J160" s="20" t="s">
        <v>124</v>
      </c>
      <c r="L160" s="13"/>
      <c r="M160" s="1"/>
      <c r="N160" s="1"/>
    </row>
    <row r="161" spans="1:14" s="27" customFormat="1" x14ac:dyDescent="0.3">
      <c r="A161" s="142" t="s">
        <v>665</v>
      </c>
      <c r="B161" s="142">
        <v>7</v>
      </c>
      <c r="C161" s="26">
        <v>28</v>
      </c>
      <c r="D161" s="13">
        <v>28</v>
      </c>
      <c r="E161" s="523">
        <v>1</v>
      </c>
      <c r="F161" s="120">
        <f t="shared" si="37"/>
        <v>33.6</v>
      </c>
      <c r="G161" s="141">
        <f t="array" ref="G161">IF(E161=0,0,IF(E161=1,D161*$G$3,D161*$G$3*2))</f>
        <v>28</v>
      </c>
      <c r="H161" s="141">
        <f t="array" ref="H161">IF(E161&gt;2,D161*(E161-2)*$H$3,0)</f>
        <v>0</v>
      </c>
      <c r="I161" s="123">
        <f t="shared" si="38"/>
        <v>61.6</v>
      </c>
      <c r="J161" s="20" t="s">
        <v>124</v>
      </c>
      <c r="L161" s="13"/>
    </row>
    <row r="162" spans="1:14" s="27" customFormat="1" x14ac:dyDescent="0.3">
      <c r="A162" s="142" t="s">
        <v>666</v>
      </c>
      <c r="B162" s="142">
        <v>4</v>
      </c>
      <c r="C162" s="26">
        <v>28</v>
      </c>
      <c r="D162" s="13">
        <v>28</v>
      </c>
      <c r="E162" s="523">
        <v>1</v>
      </c>
      <c r="F162" s="120">
        <f t="shared" si="37"/>
        <v>33.6</v>
      </c>
      <c r="G162" s="141">
        <f t="array" ref="G162">IF(E162=0,0,IF(E162=1,D162*$G$3,D162*$G$3*2))</f>
        <v>28</v>
      </c>
      <c r="H162" s="141">
        <f t="array" ref="H162">IF(E162&gt;2,D162*(E162-2)*$H$3,0)</f>
        <v>0</v>
      </c>
      <c r="I162" s="123">
        <f t="shared" si="38"/>
        <v>61.6</v>
      </c>
      <c r="J162" s="20" t="s">
        <v>124</v>
      </c>
      <c r="L162" s="13"/>
    </row>
    <row r="163" spans="1:14" s="27" customFormat="1" x14ac:dyDescent="0.3">
      <c r="A163" s="136" t="s">
        <v>667</v>
      </c>
      <c r="B163" s="125">
        <v>0</v>
      </c>
      <c r="C163" s="26">
        <v>28</v>
      </c>
      <c r="D163" s="13">
        <v>28</v>
      </c>
      <c r="E163" s="523">
        <v>1</v>
      </c>
      <c r="F163" s="120">
        <f t="shared" si="37"/>
        <v>0</v>
      </c>
      <c r="G163" s="141">
        <f t="array" ref="G163">IF(E163=0,0,IF(E163=1,D163*$G$3,D163*$G$3*2))</f>
        <v>28</v>
      </c>
      <c r="H163" s="141">
        <f t="array" ref="H163">IF(E163&gt;2,D163*(E163-2)*$H$3,0)</f>
        <v>0</v>
      </c>
      <c r="I163" s="123">
        <f t="shared" si="38"/>
        <v>28</v>
      </c>
      <c r="J163" s="20" t="s">
        <v>124</v>
      </c>
      <c r="L163" s="13"/>
      <c r="M163" s="1"/>
      <c r="N163" s="1"/>
    </row>
    <row r="164" spans="1:14" s="27" customFormat="1" x14ac:dyDescent="0.3">
      <c r="A164" s="136" t="s">
        <v>668</v>
      </c>
      <c r="B164" s="125">
        <v>5</v>
      </c>
      <c r="C164" s="26">
        <v>28</v>
      </c>
      <c r="D164" s="13">
        <v>28</v>
      </c>
      <c r="E164" s="523">
        <v>1</v>
      </c>
      <c r="F164" s="120">
        <f t="shared" si="37"/>
        <v>33.6</v>
      </c>
      <c r="G164" s="141">
        <f t="array" ref="G164">IF(E164=0,0,IF(E164=1,D164*$G$3,D164*$G$3*2))</f>
        <v>28</v>
      </c>
      <c r="H164" s="141">
        <f t="array" ref="H164">IF(E164&gt;2,D164*(E164-2)*$H$3,0)</f>
        <v>0</v>
      </c>
      <c r="I164" s="123">
        <f t="shared" si="38"/>
        <v>61.6</v>
      </c>
      <c r="J164" s="20" t="s">
        <v>124</v>
      </c>
      <c r="L164" s="13"/>
      <c r="M164" s="1"/>
      <c r="N164" s="1"/>
    </row>
    <row r="165" spans="1:14" s="27" customFormat="1" x14ac:dyDescent="0.3">
      <c r="A165" s="136" t="s">
        <v>669</v>
      </c>
      <c r="B165" s="125">
        <v>9</v>
      </c>
      <c r="C165" s="26">
        <v>28</v>
      </c>
      <c r="D165" s="13">
        <v>28</v>
      </c>
      <c r="E165" s="523">
        <v>1</v>
      </c>
      <c r="F165" s="120">
        <f t="shared" si="37"/>
        <v>33.6</v>
      </c>
      <c r="G165" s="141">
        <f t="array" ref="G165">IF(E165=0,0,IF(E165=1,D165*$G$3,D165*$G$3*2))</f>
        <v>28</v>
      </c>
      <c r="H165" s="141">
        <f t="array" ref="H165">IF(E165&gt;2,D165*(E165-2)*$H$3,0)</f>
        <v>0</v>
      </c>
      <c r="I165" s="123">
        <f t="shared" si="38"/>
        <v>61.6</v>
      </c>
      <c r="J165" s="20" t="s">
        <v>124</v>
      </c>
      <c r="L165" s="13"/>
      <c r="M165" s="1"/>
      <c r="N165" s="1"/>
    </row>
    <row r="166" spans="1:14" s="27" customFormat="1" x14ac:dyDescent="0.3">
      <c r="A166" s="136" t="s">
        <v>485</v>
      </c>
      <c r="B166" s="125">
        <v>6</v>
      </c>
      <c r="C166" s="26">
        <v>28</v>
      </c>
      <c r="D166" s="13">
        <v>28</v>
      </c>
      <c r="E166" s="523">
        <v>1</v>
      </c>
      <c r="F166" s="120">
        <f t="shared" si="37"/>
        <v>33.6</v>
      </c>
      <c r="G166" s="141">
        <f t="array" ref="G166">IF(E166=0,0,IF(E166=1,D166*$G$3,D166*$G$3*2))</f>
        <v>28</v>
      </c>
      <c r="H166" s="141">
        <f t="array" ref="H166">IF(E166&gt;2,D166*(E166-2)*$H$3,0)</f>
        <v>0</v>
      </c>
      <c r="I166" s="123">
        <f t="shared" si="38"/>
        <v>61.6</v>
      </c>
      <c r="J166" s="20" t="s">
        <v>124</v>
      </c>
      <c r="L166" s="13"/>
      <c r="M166" s="1"/>
      <c r="N166" s="1"/>
    </row>
    <row r="167" spans="1:14" s="27" customFormat="1" x14ac:dyDescent="0.3">
      <c r="A167" s="136" t="s">
        <v>486</v>
      </c>
      <c r="B167" s="125">
        <v>8</v>
      </c>
      <c r="C167" s="26">
        <v>28</v>
      </c>
      <c r="D167" s="13">
        <v>28</v>
      </c>
      <c r="E167" s="523">
        <v>1</v>
      </c>
      <c r="F167" s="120">
        <f t="shared" si="37"/>
        <v>33.6</v>
      </c>
      <c r="G167" s="141">
        <f t="array" ref="G167">IF(E167=0,0,IF(E167=1,D167*$G$3,D167*$G$3*2))</f>
        <v>28</v>
      </c>
      <c r="H167" s="141">
        <f t="array" ref="H167">IF(E167&gt;2,D167*(E167-2)*$H$3,0)</f>
        <v>0</v>
      </c>
      <c r="I167" s="123">
        <f t="shared" si="38"/>
        <v>61.6</v>
      </c>
      <c r="J167" s="20" t="s">
        <v>124</v>
      </c>
      <c r="L167" s="13"/>
      <c r="M167" s="1"/>
      <c r="N167" s="1"/>
    </row>
    <row r="168" spans="1:14" s="27" customFormat="1" x14ac:dyDescent="0.3">
      <c r="A168" s="1039" t="s">
        <v>487</v>
      </c>
      <c r="B168" s="1039">
        <v>3</v>
      </c>
      <c r="C168" s="26">
        <v>28</v>
      </c>
      <c r="D168" s="13">
        <v>28</v>
      </c>
      <c r="E168" s="523">
        <v>1</v>
      </c>
      <c r="F168" s="120">
        <f t="shared" si="37"/>
        <v>33.6</v>
      </c>
      <c r="G168" s="141">
        <f t="array" ref="G168">IF(E168=0,0,IF(E168=1,D168*$G$3,D168*$G$3*2))</f>
        <v>28</v>
      </c>
      <c r="H168" s="141">
        <f t="array" ref="H168">IF(E168&gt;2,D168*(E168-2)*$H$3,0)</f>
        <v>0</v>
      </c>
      <c r="I168" s="123">
        <f t="shared" si="38"/>
        <v>61.6</v>
      </c>
      <c r="J168" s="20" t="s">
        <v>124</v>
      </c>
      <c r="L168" s="13"/>
    </row>
    <row r="169" spans="1:14" s="27" customFormat="1" x14ac:dyDescent="0.3">
      <c r="A169" s="1039" t="s">
        <v>670</v>
      </c>
      <c r="B169" s="1039">
        <v>9</v>
      </c>
      <c r="C169" s="26">
        <v>28</v>
      </c>
      <c r="D169" s="13">
        <v>28</v>
      </c>
      <c r="E169" s="523">
        <v>1</v>
      </c>
      <c r="F169" s="120">
        <f t="shared" si="37"/>
        <v>33.6</v>
      </c>
      <c r="G169" s="141">
        <f t="array" ref="G169">IF(E169=0,0,IF(E169=1,D169*$G$3,D169*$G$3*2))</f>
        <v>28</v>
      </c>
      <c r="H169" s="141">
        <f t="array" ref="H169">IF(E169&gt;2,D169*(E169-2)*$H$3,0)</f>
        <v>0</v>
      </c>
      <c r="I169" s="123">
        <f t="shared" si="38"/>
        <v>61.6</v>
      </c>
      <c r="J169" s="20" t="s">
        <v>124</v>
      </c>
      <c r="L169" s="13"/>
    </row>
    <row r="170" spans="1:14" s="27" customFormat="1" x14ac:dyDescent="0.3">
      <c r="A170" s="1039" t="s">
        <v>671</v>
      </c>
      <c r="B170" s="1039">
        <v>9</v>
      </c>
      <c r="C170" s="26">
        <v>28</v>
      </c>
      <c r="D170" s="13">
        <v>0</v>
      </c>
      <c r="E170" s="523">
        <v>1</v>
      </c>
      <c r="F170" s="120">
        <f t="shared" si="37"/>
        <v>33.6</v>
      </c>
      <c r="G170" s="141">
        <f t="array" ref="G170">IF(E170=0,0,IF(E170=1,D170*$G$3,D170*$G$3*2))</f>
        <v>0</v>
      </c>
      <c r="H170" s="141">
        <f t="array" ref="H170">IF(E170&gt;2,D170*(E170-2)*$H$3,0)</f>
        <v>0</v>
      </c>
      <c r="I170" s="123">
        <f t="shared" si="38"/>
        <v>33.6</v>
      </c>
      <c r="J170" s="20" t="s">
        <v>124</v>
      </c>
      <c r="L170" s="13"/>
    </row>
    <row r="171" spans="1:14" s="27" customFormat="1" x14ac:dyDescent="0.3">
      <c r="A171" s="142" t="s">
        <v>130</v>
      </c>
      <c r="B171" s="142">
        <v>0</v>
      </c>
      <c r="C171" s="26">
        <v>0</v>
      </c>
      <c r="D171" s="13">
        <v>28</v>
      </c>
      <c r="E171" s="523">
        <v>0</v>
      </c>
      <c r="F171" s="120">
        <f t="shared" si="37"/>
        <v>0</v>
      </c>
      <c r="G171" s="141">
        <f t="array" ref="G171">IF(E171=0,0,IF(E171=1,D171*$G$3,D171*$G$3*2))</f>
        <v>0</v>
      </c>
      <c r="H171" s="141">
        <f t="array" ref="H171">IF(E171&gt;2,D171*(E171-2)*$H$3,0)</f>
        <v>0</v>
      </c>
      <c r="I171" s="123">
        <f t="shared" si="38"/>
        <v>0</v>
      </c>
      <c r="J171" s="20" t="s">
        <v>124</v>
      </c>
      <c r="L171" s="13"/>
    </row>
    <row r="172" spans="1:14" s="27" customFormat="1" x14ac:dyDescent="0.3">
      <c r="A172" s="142" t="s">
        <v>488</v>
      </c>
      <c r="B172" s="1040">
        <v>2</v>
      </c>
      <c r="C172" s="26">
        <v>28</v>
      </c>
      <c r="D172" s="13">
        <v>28</v>
      </c>
      <c r="E172" s="523">
        <v>1</v>
      </c>
      <c r="F172" s="120">
        <f t="shared" si="37"/>
        <v>33.6</v>
      </c>
      <c r="G172" s="141">
        <f t="array" ref="G172">IF(E172=0,0,IF(E172=1,D172*$G$3,D172*$G$3*2))</f>
        <v>28</v>
      </c>
      <c r="H172" s="141">
        <f t="array" ref="H172">IF(E172&gt;2,D172*(E172-2)*$H$3,0)</f>
        <v>0</v>
      </c>
      <c r="I172" s="123">
        <f t="shared" si="38"/>
        <v>61.6</v>
      </c>
      <c r="J172" s="20" t="s">
        <v>124</v>
      </c>
      <c r="L172" s="13"/>
    </row>
    <row r="173" spans="1:14" s="27" customFormat="1" x14ac:dyDescent="0.3">
      <c r="A173" s="142" t="s">
        <v>489</v>
      </c>
      <c r="B173" s="142">
        <v>0</v>
      </c>
      <c r="C173" s="26">
        <v>0</v>
      </c>
      <c r="D173" s="13">
        <v>28</v>
      </c>
      <c r="E173" s="523">
        <v>0</v>
      </c>
      <c r="F173" s="120">
        <f t="shared" si="37"/>
        <v>0</v>
      </c>
      <c r="G173" s="141">
        <f t="array" ref="G173">IF(E173=0,0,IF(E173=1,D173*$G$3,D173*$G$3*2))</f>
        <v>0</v>
      </c>
      <c r="H173" s="141">
        <f t="array" ref="H173">IF(E173&gt;2,D173*(E173-2)*$H$3,0)</f>
        <v>0</v>
      </c>
      <c r="I173" s="123">
        <f t="shared" si="38"/>
        <v>0</v>
      </c>
      <c r="J173" s="20" t="s">
        <v>124</v>
      </c>
      <c r="L173" s="13"/>
    </row>
    <row r="174" spans="1:14" s="27" customFormat="1" x14ac:dyDescent="0.3">
      <c r="A174" s="142" t="s">
        <v>672</v>
      </c>
      <c r="B174" s="142">
        <v>9</v>
      </c>
      <c r="C174" s="26">
        <v>28</v>
      </c>
      <c r="D174" s="13">
        <v>28</v>
      </c>
      <c r="E174" s="523">
        <v>1</v>
      </c>
      <c r="F174" s="120">
        <f t="shared" si="37"/>
        <v>33.6</v>
      </c>
      <c r="G174" s="141">
        <f t="array" ref="G174">IF(E174=0,0,IF(E174=1,D174*$G$3,D174*$G$3*2))</f>
        <v>28</v>
      </c>
      <c r="H174" s="141">
        <f t="array" ref="H174">IF(E174&gt;2,D174*(E174-2)*$H$3,0)</f>
        <v>0</v>
      </c>
      <c r="I174" s="123">
        <f t="shared" si="38"/>
        <v>61.6</v>
      </c>
      <c r="J174" s="20" t="s">
        <v>124</v>
      </c>
      <c r="L174" s="13"/>
    </row>
    <row r="175" spans="1:14" s="27" customFormat="1" x14ac:dyDescent="0.3">
      <c r="A175" s="142" t="s">
        <v>673</v>
      </c>
      <c r="B175" s="142">
        <v>9</v>
      </c>
      <c r="C175" s="26">
        <v>0</v>
      </c>
      <c r="D175" s="13">
        <v>28</v>
      </c>
      <c r="E175" s="523">
        <v>1</v>
      </c>
      <c r="F175" s="120">
        <f t="shared" si="37"/>
        <v>0</v>
      </c>
      <c r="G175" s="141">
        <f t="array" ref="G175">IF(E175=0,0,IF(E175=1,D175*$G$3,D175*$G$3*2))</f>
        <v>28</v>
      </c>
      <c r="H175" s="141">
        <f t="array" ref="H175">IF(E175&gt;2,D175*(E175-2)*$H$3,0)</f>
        <v>0</v>
      </c>
      <c r="I175" s="123">
        <f t="shared" si="38"/>
        <v>28</v>
      </c>
      <c r="J175" s="20" t="s">
        <v>124</v>
      </c>
      <c r="L175" s="13"/>
    </row>
    <row r="176" spans="1:14" s="27" customFormat="1" x14ac:dyDescent="0.3">
      <c r="A176" s="142" t="s">
        <v>674</v>
      </c>
      <c r="B176" s="142">
        <v>9</v>
      </c>
      <c r="C176" s="26">
        <v>28</v>
      </c>
      <c r="D176" s="13">
        <v>28</v>
      </c>
      <c r="E176" s="523">
        <v>1</v>
      </c>
      <c r="F176" s="120">
        <f t="shared" si="37"/>
        <v>33.6</v>
      </c>
      <c r="G176" s="141">
        <f t="array" ref="G176">IF(E176=0,0,IF(E176=1,D176*$G$3,D176*$G$3*2))</f>
        <v>28</v>
      </c>
      <c r="H176" s="141">
        <f t="array" ref="H176">IF(E176&gt;2,D176*(E176-2)*$H$3,0)</f>
        <v>0</v>
      </c>
      <c r="I176" s="123">
        <f t="shared" si="38"/>
        <v>61.6</v>
      </c>
      <c r="J176" s="20" t="s">
        <v>124</v>
      </c>
      <c r="L176" s="13"/>
    </row>
    <row r="177" spans="1:12" s="27" customFormat="1" x14ac:dyDescent="0.3">
      <c r="A177" s="142" t="s">
        <v>675</v>
      </c>
      <c r="B177" s="142">
        <v>9</v>
      </c>
      <c r="C177" s="26">
        <v>28</v>
      </c>
      <c r="D177" s="13">
        <v>0</v>
      </c>
      <c r="E177" s="523">
        <v>1</v>
      </c>
      <c r="F177" s="120">
        <f t="shared" si="37"/>
        <v>33.6</v>
      </c>
      <c r="G177" s="141">
        <f t="array" ref="G177">IF(E177=0,0,IF(E177=1,D177*$G$3,D177*$G$3*2))</f>
        <v>0</v>
      </c>
      <c r="H177" s="141">
        <f t="array" ref="H177">IF(E177&gt;2,D177*(E177-2)*$H$3,0)</f>
        <v>0</v>
      </c>
      <c r="I177" s="123">
        <f t="shared" si="38"/>
        <v>33.6</v>
      </c>
      <c r="J177" s="20" t="s">
        <v>124</v>
      </c>
      <c r="L177" s="13"/>
    </row>
    <row r="178" spans="1:12" s="27" customFormat="1" ht="16.2" thickBot="1" x14ac:dyDescent="0.35">
      <c r="A178" s="142" t="s">
        <v>676</v>
      </c>
      <c r="B178" s="142">
        <v>9</v>
      </c>
      <c r="C178" s="26">
        <v>28</v>
      </c>
      <c r="D178" s="13">
        <v>28</v>
      </c>
      <c r="E178" s="523">
        <v>1</v>
      </c>
      <c r="F178" s="120">
        <f t="shared" si="37"/>
        <v>33.6</v>
      </c>
      <c r="G178" s="141">
        <f t="array" ref="G178">IF(E178=0,0,IF(E178=1,D178*$G$3,D178*$G$3*2))</f>
        <v>28</v>
      </c>
      <c r="H178" s="141">
        <f t="array" ref="H178">IF(E178&gt;2,D178*(E178-2)*$H$3,0)</f>
        <v>0</v>
      </c>
      <c r="I178" s="123">
        <f t="shared" si="38"/>
        <v>61.6</v>
      </c>
      <c r="J178" s="20" t="s">
        <v>124</v>
      </c>
      <c r="L178" s="13"/>
    </row>
    <row r="179" spans="1:12" s="27" customFormat="1" ht="16.2" thickBot="1" x14ac:dyDescent="0.35">
      <c r="A179" s="19" t="s">
        <v>22</v>
      </c>
      <c r="B179" s="19"/>
      <c r="C179" s="26"/>
      <c r="D179" s="13"/>
      <c r="E179" s="26"/>
      <c r="F179" s="120"/>
      <c r="I179" s="135">
        <f>SUM(I141:I178)</f>
        <v>2158.7999999999988</v>
      </c>
      <c r="J179" s="20"/>
      <c r="L179" s="13"/>
    </row>
    <row r="180" spans="1:12" s="27" customFormat="1" x14ac:dyDescent="0.3">
      <c r="A180" s="27" t="s">
        <v>677</v>
      </c>
      <c r="B180" s="27">
        <v>26</v>
      </c>
      <c r="C180" s="26">
        <v>28</v>
      </c>
      <c r="D180" s="13">
        <v>28</v>
      </c>
      <c r="E180" s="523">
        <v>1</v>
      </c>
      <c r="F180" s="120">
        <f t="shared" ref="F180:F206" si="39">IF(B180=0,0*C180*$F$2,C180*$F$2)</f>
        <v>33.6</v>
      </c>
      <c r="G180" s="141">
        <f t="array" ref="G180">IF(E180=0,0,IF(E180=1,D180*$G$3,D180*$G$3*2))</f>
        <v>28</v>
      </c>
      <c r="H180" s="141">
        <f t="array" ref="H180">IF(E180&gt;2,D180*(E180-2)*$H$3,0)</f>
        <v>0</v>
      </c>
      <c r="I180" s="123">
        <f t="shared" ref="I180:I183" si="40">SUM(F180:H180)</f>
        <v>61.6</v>
      </c>
      <c r="J180" s="20" t="s">
        <v>124</v>
      </c>
      <c r="L180" s="13"/>
    </row>
    <row r="181" spans="1:12" s="27" customFormat="1" x14ac:dyDescent="0.3">
      <c r="A181" s="27" t="s">
        <v>490</v>
      </c>
      <c r="B181" s="27">
        <v>4</v>
      </c>
      <c r="C181" s="26">
        <v>28</v>
      </c>
      <c r="D181" s="13">
        <v>28</v>
      </c>
      <c r="E181" s="523">
        <v>1</v>
      </c>
      <c r="F181" s="120">
        <f t="shared" si="39"/>
        <v>33.6</v>
      </c>
      <c r="G181" s="141">
        <f t="array" ref="G181">IF(E181=0,0,IF(E181=1,D181*$G$3,D181*$G$3*2))</f>
        <v>28</v>
      </c>
      <c r="H181" s="141">
        <f t="array" ref="H181">IF(E181&gt;2,D181*(E181-2)*$H$3,0)</f>
        <v>0</v>
      </c>
      <c r="I181" s="123">
        <f t="shared" si="40"/>
        <v>61.6</v>
      </c>
      <c r="J181" s="20" t="s">
        <v>124</v>
      </c>
      <c r="L181" s="13"/>
    </row>
    <row r="182" spans="1:12" s="27" customFormat="1" x14ac:dyDescent="0.3">
      <c r="A182" s="27" t="s">
        <v>678</v>
      </c>
      <c r="B182" s="27">
        <v>2</v>
      </c>
      <c r="C182" s="26">
        <v>28</v>
      </c>
      <c r="D182" s="13">
        <v>28</v>
      </c>
      <c r="E182" s="523">
        <v>1</v>
      </c>
      <c r="F182" s="120">
        <f t="shared" si="39"/>
        <v>33.6</v>
      </c>
      <c r="G182" s="141">
        <f t="array" ref="G182">IF(E182=0,0,IF(E182=1,D182*$G$3,D182*$G$3*2))</f>
        <v>28</v>
      </c>
      <c r="H182" s="141">
        <f t="array" ref="H182">IF(E182&gt;2,D182*(E182-2)*$H$3,0)</f>
        <v>0</v>
      </c>
      <c r="I182" s="123">
        <f t="shared" si="40"/>
        <v>61.6</v>
      </c>
      <c r="J182" s="20" t="s">
        <v>124</v>
      </c>
      <c r="L182" s="13"/>
    </row>
    <row r="183" spans="1:12" s="27" customFormat="1" x14ac:dyDescent="0.3">
      <c r="A183" s="27" t="s">
        <v>679</v>
      </c>
      <c r="B183" s="27">
        <v>26</v>
      </c>
      <c r="C183" s="26">
        <v>28</v>
      </c>
      <c r="D183" s="13">
        <v>28</v>
      </c>
      <c r="E183" s="523">
        <v>2</v>
      </c>
      <c r="F183" s="120">
        <f t="shared" si="39"/>
        <v>33.6</v>
      </c>
      <c r="G183" s="141">
        <f t="array" ref="G183">IF(E183=0,0,IF(E183=1,D183*$G$3,D183*$G$3*2))</f>
        <v>56</v>
      </c>
      <c r="H183" s="141">
        <f t="array" ref="H183">IF(E183&gt;2,D183*(E183-2)*$H$3,0)</f>
        <v>0</v>
      </c>
      <c r="I183" s="123">
        <f t="shared" si="40"/>
        <v>89.6</v>
      </c>
      <c r="J183" s="20" t="s">
        <v>124</v>
      </c>
      <c r="L183" s="13"/>
    </row>
    <row r="184" spans="1:12" s="27" customFormat="1" x14ac:dyDescent="0.3">
      <c r="A184" s="27" t="s">
        <v>449</v>
      </c>
      <c r="B184" s="27">
        <v>0</v>
      </c>
      <c r="C184" s="26">
        <v>0</v>
      </c>
      <c r="D184" s="13">
        <v>28</v>
      </c>
      <c r="E184" s="523">
        <v>0</v>
      </c>
      <c r="F184" s="120">
        <f t="shared" si="39"/>
        <v>0</v>
      </c>
      <c r="G184" s="141">
        <f t="array" ref="G184">IF(E184=0,0,IF(E184=1,D184*$G$3,D184*$G$3*2))</f>
        <v>0</v>
      </c>
      <c r="H184" s="141">
        <f t="array" ref="H184">IF(E184&gt;2,D184*(E184-2)*$H$3,0)</f>
        <v>0</v>
      </c>
      <c r="I184" s="123">
        <f>SUM(F184:H184)</f>
        <v>0</v>
      </c>
      <c r="J184" s="20" t="s">
        <v>124</v>
      </c>
      <c r="L184" s="13"/>
    </row>
    <row r="185" spans="1:12" s="27" customFormat="1" x14ac:dyDescent="0.3">
      <c r="A185" s="27" t="s">
        <v>680</v>
      </c>
      <c r="B185" s="27">
        <v>18</v>
      </c>
      <c r="C185" s="26">
        <v>28</v>
      </c>
      <c r="D185" s="13">
        <v>28</v>
      </c>
      <c r="E185" s="523">
        <v>1</v>
      </c>
      <c r="F185" s="120">
        <f t="shared" si="39"/>
        <v>33.6</v>
      </c>
      <c r="G185" s="141">
        <f t="array" ref="G185">IF(E185=0,0,IF(E185=1,D185*$G$3,D185*$G$3*2))</f>
        <v>28</v>
      </c>
      <c r="H185" s="141">
        <f t="array" ref="H185">IF(E185&gt;2,D185*(E185-2)*$H$3,0)</f>
        <v>0</v>
      </c>
      <c r="I185" s="123">
        <f t="shared" ref="I185" si="41">SUM(F185:H185)</f>
        <v>61.6</v>
      </c>
      <c r="J185" s="20" t="s">
        <v>124</v>
      </c>
      <c r="L185" s="13"/>
    </row>
    <row r="186" spans="1:12" s="27" customFormat="1" x14ac:dyDescent="0.3">
      <c r="A186" s="27" t="s">
        <v>681</v>
      </c>
      <c r="B186" s="27">
        <v>2</v>
      </c>
      <c r="C186" s="26">
        <v>28</v>
      </c>
      <c r="D186" s="13">
        <v>28</v>
      </c>
      <c r="E186" s="523">
        <v>1</v>
      </c>
      <c r="F186" s="120">
        <f t="shared" si="39"/>
        <v>33.6</v>
      </c>
      <c r="G186" s="141">
        <f t="array" ref="G186">IF(E186=0,0,IF(E186=1,D186*$G$3,D186*$G$3*2))</f>
        <v>28</v>
      </c>
      <c r="H186" s="141">
        <f t="array" ref="H186">IF(E186&gt;2,D186*(E186-2)*$H$3,0)</f>
        <v>0</v>
      </c>
      <c r="I186" s="123">
        <f>SUM(F186:H186)</f>
        <v>61.6</v>
      </c>
      <c r="J186" s="20" t="s">
        <v>124</v>
      </c>
      <c r="L186" s="13"/>
    </row>
    <row r="187" spans="1:12" s="27" customFormat="1" x14ac:dyDescent="0.3">
      <c r="A187" s="27" t="s">
        <v>682</v>
      </c>
      <c r="B187" s="27">
        <v>9</v>
      </c>
      <c r="C187" s="26">
        <v>28</v>
      </c>
      <c r="D187" s="13">
        <v>28</v>
      </c>
      <c r="E187" s="523">
        <v>1</v>
      </c>
      <c r="F187" s="120">
        <f t="shared" si="39"/>
        <v>33.6</v>
      </c>
      <c r="G187" s="141">
        <f t="array" ref="G187">IF(E187=0,0,IF(E187=1,D187*$G$3,D187*$G$3*2))</f>
        <v>28</v>
      </c>
      <c r="H187" s="141">
        <f t="array" ref="H187">IF(E187&gt;2,D187*(E187-2)*$H$3,0)</f>
        <v>0</v>
      </c>
      <c r="I187" s="123">
        <f t="shared" ref="I187:I188" si="42">SUM(F187:H187)</f>
        <v>61.6</v>
      </c>
      <c r="J187" s="20" t="s">
        <v>124</v>
      </c>
      <c r="L187" s="13"/>
    </row>
    <row r="188" spans="1:12" s="27" customFormat="1" x14ac:dyDescent="0.3">
      <c r="A188" s="1038" t="s">
        <v>683</v>
      </c>
      <c r="B188" s="1039">
        <v>4</v>
      </c>
      <c r="C188" s="26">
        <v>28</v>
      </c>
      <c r="D188" s="13">
        <v>28</v>
      </c>
      <c r="E188" s="523">
        <v>1</v>
      </c>
      <c r="F188" s="120">
        <f t="shared" si="39"/>
        <v>33.6</v>
      </c>
      <c r="G188" s="141">
        <f t="array" ref="G188">IF(E188=0,0,IF(E188=1,D188*$G$3,D188*$G$3*2))</f>
        <v>28</v>
      </c>
      <c r="H188" s="141">
        <f t="array" ref="H188">IF(E188&gt;2,D188*(E188-2)*$H$3,0)</f>
        <v>0</v>
      </c>
      <c r="I188" s="123">
        <f t="shared" si="42"/>
        <v>61.6</v>
      </c>
      <c r="J188" s="20" t="s">
        <v>124</v>
      </c>
      <c r="L188" s="13"/>
    </row>
    <row r="189" spans="1:12" s="27" customFormat="1" x14ac:dyDescent="0.3">
      <c r="A189" s="1038" t="s">
        <v>684</v>
      </c>
      <c r="B189" s="1039">
        <v>4</v>
      </c>
      <c r="C189" s="26">
        <v>28</v>
      </c>
      <c r="D189" s="13">
        <v>28</v>
      </c>
      <c r="E189" s="523">
        <v>1</v>
      </c>
      <c r="F189" s="120">
        <f t="shared" si="39"/>
        <v>33.6</v>
      </c>
      <c r="G189" s="141">
        <f t="array" ref="G189">IF(E189=0,0,IF(E189=1,D189*$G$3,D189*$G$3*2))</f>
        <v>28</v>
      </c>
      <c r="H189" s="141">
        <f t="array" ref="H189">IF(E189&gt;2,D189*(E189-2)*$H$3,0)</f>
        <v>0</v>
      </c>
      <c r="I189" s="123">
        <f>SUM(F189:H189)</f>
        <v>61.6</v>
      </c>
      <c r="J189" s="20" t="s">
        <v>124</v>
      </c>
      <c r="L189" s="13"/>
    </row>
    <row r="190" spans="1:12" s="27" customFormat="1" x14ac:dyDescent="0.3">
      <c r="A190" s="1038" t="s">
        <v>685</v>
      </c>
      <c r="B190" s="1039">
        <v>3</v>
      </c>
      <c r="C190" s="26">
        <v>28</v>
      </c>
      <c r="D190" s="13">
        <v>28</v>
      </c>
      <c r="E190" s="523">
        <v>1</v>
      </c>
      <c r="F190" s="120">
        <f t="shared" si="39"/>
        <v>33.6</v>
      </c>
      <c r="G190" s="141">
        <f t="array" ref="G190">IF(E190=0,0,IF(E190=1,D190*$G$3,D190*$G$3*2))</f>
        <v>28</v>
      </c>
      <c r="H190" s="141">
        <f t="array" ref="H190">IF(E190&gt;2,D190*(E190-2)*$H$3,0)</f>
        <v>0</v>
      </c>
      <c r="I190" s="123">
        <f>SUM(F190:H190)</f>
        <v>61.6</v>
      </c>
      <c r="J190" s="20" t="s">
        <v>124</v>
      </c>
      <c r="L190" s="13"/>
    </row>
    <row r="191" spans="1:12" s="27" customFormat="1" x14ac:dyDescent="0.3">
      <c r="A191" s="1038" t="s">
        <v>686</v>
      </c>
      <c r="B191" s="1039">
        <v>4</v>
      </c>
      <c r="C191" s="26">
        <v>28</v>
      </c>
      <c r="D191" s="13">
        <v>28</v>
      </c>
      <c r="E191" s="523">
        <v>1</v>
      </c>
      <c r="F191" s="120">
        <f t="shared" si="39"/>
        <v>33.6</v>
      </c>
      <c r="G191" s="141">
        <f t="array" ref="G191">IF(E191=0,0,IF(E191=1,D191*$G$3,D191*$G$3*2))</f>
        <v>28</v>
      </c>
      <c r="H191" s="141">
        <f t="array" ref="H191">IF(E191&gt;2,D191*(E191-2)*$H$3,0)</f>
        <v>0</v>
      </c>
      <c r="I191" s="123">
        <f>SUM(F191:H191)</f>
        <v>61.6</v>
      </c>
      <c r="J191" s="20" t="s">
        <v>124</v>
      </c>
      <c r="L191" s="13"/>
    </row>
    <row r="192" spans="1:12" s="27" customFormat="1" x14ac:dyDescent="0.3">
      <c r="A192" s="1038" t="s">
        <v>493</v>
      </c>
      <c r="B192" s="1039">
        <v>7</v>
      </c>
      <c r="C192" s="26">
        <v>28</v>
      </c>
      <c r="D192" s="13">
        <v>28</v>
      </c>
      <c r="E192" s="523">
        <v>1</v>
      </c>
      <c r="F192" s="120">
        <f t="shared" si="39"/>
        <v>33.6</v>
      </c>
      <c r="G192" s="141">
        <f t="array" ref="G192">IF(E192=0,0,IF(E192=1,D192*$G$3,D192*$G$3*2))</f>
        <v>28</v>
      </c>
      <c r="H192" s="141">
        <f t="array" ref="H192">IF(E192&gt;2,D192*(E192-2)*$H$3,0)</f>
        <v>0</v>
      </c>
      <c r="I192" s="123">
        <f>SUM(F192:H192)</f>
        <v>61.6</v>
      </c>
      <c r="J192" s="20" t="s">
        <v>124</v>
      </c>
      <c r="L192" s="13"/>
    </row>
    <row r="193" spans="1:14" s="27" customFormat="1" x14ac:dyDescent="0.3">
      <c r="A193" s="142" t="s">
        <v>491</v>
      </c>
      <c r="B193" s="142">
        <v>0</v>
      </c>
      <c r="C193" s="26">
        <v>0</v>
      </c>
      <c r="D193" s="13">
        <v>20</v>
      </c>
      <c r="E193" s="523">
        <v>0</v>
      </c>
      <c r="F193" s="120">
        <f t="shared" si="39"/>
        <v>0</v>
      </c>
      <c r="G193" s="141">
        <f t="array" ref="G193">IF(E193=0,0,IF(E193=1,D193*$G$3,D193*$G$3*2))</f>
        <v>0</v>
      </c>
      <c r="H193" s="141">
        <f t="array" ref="H193">IF(E193&gt;2,D193*(E193-2)*$H$3,0)</f>
        <v>0</v>
      </c>
      <c r="I193" s="123">
        <f t="shared" ref="I193" si="43">SUM(F193:H193)</f>
        <v>0</v>
      </c>
      <c r="J193" s="20" t="s">
        <v>124</v>
      </c>
      <c r="L193" s="13"/>
    </row>
    <row r="194" spans="1:14" s="27" customFormat="1" x14ac:dyDescent="0.3">
      <c r="A194" s="142" t="s">
        <v>687</v>
      </c>
      <c r="B194" s="142">
        <v>2</v>
      </c>
      <c r="C194" s="26">
        <v>20</v>
      </c>
      <c r="D194" s="13">
        <v>20</v>
      </c>
      <c r="E194" s="523">
        <v>1</v>
      </c>
      <c r="F194" s="120">
        <f t="shared" si="39"/>
        <v>24</v>
      </c>
      <c r="G194" s="141">
        <f t="array" ref="G194">IF(E194=0,0,IF(E194=1,D194*$G$3,D194*$G$3*2))</f>
        <v>20</v>
      </c>
      <c r="H194" s="141">
        <f t="array" ref="H194">IF(E194&gt;2,D194*(E194-2)*$H$3,0)</f>
        <v>0</v>
      </c>
      <c r="I194" s="123">
        <f>SUM(F194:H194)</f>
        <v>44</v>
      </c>
      <c r="J194" s="20" t="s">
        <v>124</v>
      </c>
      <c r="L194" s="13"/>
    </row>
    <row r="195" spans="1:14" s="27" customFormat="1" x14ac:dyDescent="0.3">
      <c r="A195" s="142" t="s">
        <v>688</v>
      </c>
      <c r="B195" s="142">
        <v>23</v>
      </c>
      <c r="C195" s="26">
        <v>0</v>
      </c>
      <c r="D195" s="13">
        <v>30</v>
      </c>
      <c r="E195" s="523">
        <v>1</v>
      </c>
      <c r="F195" s="120">
        <f t="shared" si="39"/>
        <v>0</v>
      </c>
      <c r="G195" s="141">
        <f t="array" ref="G195">IF(E195=0,0,IF(E195=1,D195*$G$3,D195*$G$3*2))</f>
        <v>30</v>
      </c>
      <c r="H195" s="141">
        <f t="array" ref="H195">IF(E195&gt;2,D195*(E195-2)*$H$3,0)</f>
        <v>0</v>
      </c>
      <c r="I195" s="123">
        <f>SUM(F195:H195)</f>
        <v>30</v>
      </c>
      <c r="J195" s="20" t="s">
        <v>124</v>
      </c>
      <c r="L195" s="13"/>
    </row>
    <row r="196" spans="1:14" s="27" customFormat="1" x14ac:dyDescent="0.3">
      <c r="A196" s="142" t="s">
        <v>689</v>
      </c>
      <c r="B196" s="142">
        <v>0</v>
      </c>
      <c r="C196" s="26">
        <v>0</v>
      </c>
      <c r="D196" s="13">
        <v>20</v>
      </c>
      <c r="E196" s="523">
        <v>0</v>
      </c>
      <c r="F196" s="120">
        <f t="shared" si="39"/>
        <v>0</v>
      </c>
      <c r="G196" s="141">
        <f t="array" ref="G196">IF(E196=0,0,IF(E196=1,D196*$G$3,D196*$G$3*2))</f>
        <v>0</v>
      </c>
      <c r="H196" s="141">
        <f t="array" ref="H196">IF(E196&gt;2,D196*(E196-2)*$H$3,0)</f>
        <v>0</v>
      </c>
      <c r="I196" s="123">
        <f>SUM(F196:H196)</f>
        <v>0</v>
      </c>
      <c r="J196" s="20" t="s">
        <v>124</v>
      </c>
      <c r="L196" s="13"/>
    </row>
    <row r="197" spans="1:14" ht="15" customHeight="1" x14ac:dyDescent="0.3">
      <c r="A197" s="142" t="s">
        <v>690</v>
      </c>
      <c r="B197" s="142">
        <v>15</v>
      </c>
      <c r="C197" s="26">
        <v>0</v>
      </c>
      <c r="D197" s="13">
        <v>20</v>
      </c>
      <c r="E197" s="523">
        <v>1</v>
      </c>
      <c r="F197" s="120">
        <f t="shared" si="39"/>
        <v>0</v>
      </c>
      <c r="G197" s="141">
        <f t="array" ref="G197">IF(E197=0,0,IF(E197=1,D197*$G$3,D197*$G$3*2))</f>
        <v>20</v>
      </c>
      <c r="H197" s="141">
        <f t="array" ref="H197">IF(E197&gt;2,D197*(E197-2)*$H$3,0)</f>
        <v>0</v>
      </c>
      <c r="I197" s="123">
        <f t="shared" ref="I197:I198" si="44">SUM(F197:H197)</f>
        <v>20</v>
      </c>
      <c r="J197" s="20" t="s">
        <v>124</v>
      </c>
      <c r="K197" s="27"/>
      <c r="L197" s="13"/>
      <c r="M197" s="27"/>
      <c r="N197" s="27"/>
    </row>
    <row r="198" spans="1:14" s="27" customFormat="1" ht="15" customHeight="1" x14ac:dyDescent="0.3">
      <c r="A198" s="142" t="s">
        <v>691</v>
      </c>
      <c r="B198" s="142">
        <v>0</v>
      </c>
      <c r="C198" s="26">
        <v>20</v>
      </c>
      <c r="D198" s="13">
        <v>20</v>
      </c>
      <c r="E198" s="523">
        <v>0</v>
      </c>
      <c r="F198" s="120">
        <f t="shared" si="39"/>
        <v>0</v>
      </c>
      <c r="G198" s="141">
        <f t="array" ref="G198">IF(E198=0,0,IF(E198=1,D198*$G$3,D198*$G$3*2))</f>
        <v>0</v>
      </c>
      <c r="H198" s="141">
        <f t="array" ref="H198">IF(E198&gt;2,D198*(E198-2)*$H$3,0)</f>
        <v>0</v>
      </c>
      <c r="I198" s="123">
        <f t="shared" si="44"/>
        <v>0</v>
      </c>
      <c r="J198" s="20" t="s">
        <v>124</v>
      </c>
      <c r="L198" s="13"/>
    </row>
    <row r="199" spans="1:14" x14ac:dyDescent="0.3">
      <c r="A199" s="142" t="s">
        <v>692</v>
      </c>
      <c r="B199" s="142">
        <v>0</v>
      </c>
      <c r="C199" s="26">
        <v>0</v>
      </c>
      <c r="D199" s="13">
        <v>20</v>
      </c>
      <c r="E199" s="523">
        <v>0</v>
      </c>
      <c r="F199" s="120">
        <f t="shared" si="39"/>
        <v>0</v>
      </c>
      <c r="G199" s="141">
        <f t="array" ref="G199">IF(E199=0,0,IF(E199=1,D199*$G$3,D199*$G$3*2))</f>
        <v>0</v>
      </c>
      <c r="H199" s="141">
        <f t="array" ref="H199">IF(E199&gt;2,D199*(E199-2)*$H$3,0)</f>
        <v>0</v>
      </c>
      <c r="I199" s="123">
        <f>SUM(F199:H199)</f>
        <v>0</v>
      </c>
      <c r="J199" s="20" t="s">
        <v>124</v>
      </c>
      <c r="K199" s="27"/>
      <c r="L199" s="13"/>
      <c r="M199" s="27"/>
      <c r="N199" s="27"/>
    </row>
    <row r="200" spans="1:14" x14ac:dyDescent="0.3">
      <c r="A200" s="142" t="s">
        <v>492</v>
      </c>
      <c r="B200" s="142">
        <v>4</v>
      </c>
      <c r="C200" s="26">
        <v>20</v>
      </c>
      <c r="D200" s="13">
        <v>20</v>
      </c>
      <c r="E200" s="523">
        <v>1</v>
      </c>
      <c r="F200" s="120">
        <f t="shared" si="39"/>
        <v>24</v>
      </c>
      <c r="G200" s="141">
        <f t="array" ref="G200">IF(E200=0,0,IF(E200=1,D200*$G$3,D200*$G$3*2))</f>
        <v>20</v>
      </c>
      <c r="H200" s="141">
        <f t="array" ref="H200">IF(E200&gt;2,D200*(E200-2)*$H$3,0)</f>
        <v>0</v>
      </c>
      <c r="I200" s="123">
        <f t="shared" ref="I200:I206" si="45">SUM(F200:H200)</f>
        <v>44</v>
      </c>
      <c r="J200" s="20" t="s">
        <v>124</v>
      </c>
      <c r="K200" s="27"/>
      <c r="L200" s="13"/>
      <c r="M200" s="27"/>
      <c r="N200" s="27"/>
    </row>
    <row r="201" spans="1:14" x14ac:dyDescent="0.3">
      <c r="A201" s="27" t="s">
        <v>693</v>
      </c>
      <c r="B201" s="27">
        <v>3</v>
      </c>
      <c r="C201" s="26">
        <v>28</v>
      </c>
      <c r="D201" s="13">
        <v>28</v>
      </c>
      <c r="E201" s="523">
        <v>1</v>
      </c>
      <c r="F201" s="120">
        <f t="shared" si="39"/>
        <v>33.6</v>
      </c>
      <c r="G201" s="141">
        <f t="array" ref="G201">IF(E201=0,0,IF(E201=1,D201*$G$3,D201*$G$3*2))</f>
        <v>28</v>
      </c>
      <c r="H201" s="141">
        <f t="array" ref="H201">IF(E201&gt;2,D201*(E201-2)*$H$3,0)</f>
        <v>0</v>
      </c>
      <c r="I201" s="123">
        <f t="shared" si="45"/>
        <v>61.6</v>
      </c>
      <c r="J201" s="20" t="s">
        <v>124</v>
      </c>
      <c r="K201" s="27"/>
      <c r="L201" s="13"/>
      <c r="M201" s="27"/>
      <c r="N201" s="27"/>
    </row>
    <row r="202" spans="1:14" x14ac:dyDescent="0.3">
      <c r="A202" s="27" t="s">
        <v>494</v>
      </c>
      <c r="B202" s="27">
        <v>4</v>
      </c>
      <c r="C202" s="26">
        <v>28</v>
      </c>
      <c r="D202" s="13">
        <v>28</v>
      </c>
      <c r="E202" s="523">
        <v>1</v>
      </c>
      <c r="F202" s="120">
        <f t="shared" si="39"/>
        <v>33.6</v>
      </c>
      <c r="G202" s="141">
        <f t="array" ref="G202">IF(E202=0,0,IF(E202=1,D202*$G$3,D202*$G$3*2))</f>
        <v>28</v>
      </c>
      <c r="H202" s="141">
        <f t="array" ref="H202">IF(E202&gt;2,D202*(E202-2)*$H$3,0)</f>
        <v>0</v>
      </c>
      <c r="I202" s="123">
        <f t="shared" si="45"/>
        <v>61.6</v>
      </c>
      <c r="J202" s="20" t="s">
        <v>124</v>
      </c>
      <c r="K202" s="27"/>
      <c r="L202" s="13"/>
      <c r="M202" s="27"/>
      <c r="N202" s="27"/>
    </row>
    <row r="203" spans="1:14" x14ac:dyDescent="0.3">
      <c r="A203" s="27" t="s">
        <v>694</v>
      </c>
      <c r="B203" s="27">
        <v>0</v>
      </c>
      <c r="C203" s="26">
        <v>16</v>
      </c>
      <c r="D203" s="13">
        <v>0</v>
      </c>
      <c r="E203" s="523">
        <v>0</v>
      </c>
      <c r="F203" s="120">
        <f t="shared" si="39"/>
        <v>0</v>
      </c>
      <c r="G203" s="141">
        <f t="array" ref="G203">IF(E203=0,0,IF(E203=1,D203*$G$3,D203*$G$3*2))</f>
        <v>0</v>
      </c>
      <c r="H203" s="141">
        <f t="array" ref="H203">IF(E203&gt;2,D203*(E203-2)*$H$3,0)</f>
        <v>0</v>
      </c>
      <c r="I203" s="123">
        <f t="shared" si="45"/>
        <v>0</v>
      </c>
      <c r="J203" s="20" t="s">
        <v>124</v>
      </c>
      <c r="K203" s="27"/>
      <c r="L203" s="13"/>
      <c r="M203" s="27"/>
      <c r="N203" s="27"/>
    </row>
    <row r="204" spans="1:14" s="27" customFormat="1" x14ac:dyDescent="0.3">
      <c r="A204" s="27" t="s">
        <v>495</v>
      </c>
      <c r="B204" s="27">
        <v>9</v>
      </c>
      <c r="C204" s="26">
        <v>20</v>
      </c>
      <c r="D204" s="13">
        <v>20</v>
      </c>
      <c r="E204" s="523">
        <v>1</v>
      </c>
      <c r="F204" s="120">
        <f t="shared" si="39"/>
        <v>24</v>
      </c>
      <c r="G204" s="141">
        <f t="array" ref="G204">IF(E204=0,0,IF(E204=1,D204*$G$3,D204*$G$3*2))</f>
        <v>20</v>
      </c>
      <c r="H204" s="141">
        <f t="array" ref="H204">IF(E204&gt;2,D204*(E204-2)*$H$3,0)</f>
        <v>0</v>
      </c>
      <c r="I204" s="123">
        <f t="shared" si="45"/>
        <v>44</v>
      </c>
      <c r="J204" s="20" t="s">
        <v>124</v>
      </c>
      <c r="L204" s="13"/>
    </row>
    <row r="205" spans="1:14" x14ac:dyDescent="0.3">
      <c r="A205" s="27" t="s">
        <v>496</v>
      </c>
      <c r="B205" s="27">
        <v>0</v>
      </c>
      <c r="C205" s="26">
        <v>0</v>
      </c>
      <c r="D205" s="13">
        <v>28</v>
      </c>
      <c r="E205" s="523">
        <v>0</v>
      </c>
      <c r="F205" s="120">
        <f t="shared" si="39"/>
        <v>0</v>
      </c>
      <c r="G205" s="141">
        <f t="array" ref="G205">IF(E205=0,0,IF(E205=1,D205*$G$3,D205*$G$3*2))</f>
        <v>0</v>
      </c>
      <c r="H205" s="141">
        <f t="array" ref="H205">IF(E205&gt;2,D205*(E205-2)*$H$3,0)</f>
        <v>0</v>
      </c>
      <c r="I205" s="123">
        <f t="shared" si="45"/>
        <v>0</v>
      </c>
      <c r="J205" s="20" t="s">
        <v>124</v>
      </c>
      <c r="K205" s="27"/>
      <c r="L205" s="13"/>
    </row>
    <row r="206" spans="1:14" s="27" customFormat="1" ht="16.2" thickBot="1" x14ac:dyDescent="0.35">
      <c r="A206" s="142" t="s">
        <v>450</v>
      </c>
      <c r="B206" s="142">
        <v>9</v>
      </c>
      <c r="C206" s="26">
        <v>28</v>
      </c>
      <c r="D206" s="13">
        <v>28</v>
      </c>
      <c r="E206" s="523">
        <v>1</v>
      </c>
      <c r="F206" s="120">
        <f t="shared" si="39"/>
        <v>33.6</v>
      </c>
      <c r="G206" s="141">
        <f t="array" ref="G206">IF(E206=0,0,IF(E206=1,D206*$G$3,D206*$G$3*2))</f>
        <v>28</v>
      </c>
      <c r="H206" s="141">
        <f t="array" ref="H206">IF(E206&gt;2,D206*(E206-2)*$H$3,0)</f>
        <v>0</v>
      </c>
      <c r="I206" s="123">
        <f t="shared" si="45"/>
        <v>61.6</v>
      </c>
      <c r="J206" s="20" t="s">
        <v>124</v>
      </c>
      <c r="L206" s="13"/>
      <c r="M206" s="1"/>
      <c r="N206" s="1"/>
    </row>
    <row r="207" spans="1:14" ht="16.2" thickBot="1" x14ac:dyDescent="0.35">
      <c r="A207" s="27"/>
      <c r="B207" s="27"/>
      <c r="C207" s="90"/>
      <c r="D207" s="138"/>
      <c r="E207" s="26"/>
      <c r="F207" s="120"/>
      <c r="G207" s="120"/>
      <c r="H207" s="120"/>
      <c r="I207" s="135">
        <f>SUM(I180:I206)</f>
        <v>1134</v>
      </c>
      <c r="J207" s="23"/>
      <c r="K207" s="27"/>
      <c r="L207" s="13"/>
    </row>
    <row r="208" spans="1:14" ht="16.2" thickBot="1" x14ac:dyDescent="0.35">
      <c r="A208" s="27"/>
      <c r="B208" s="27"/>
      <c r="C208" s="26"/>
      <c r="D208" s="13"/>
      <c r="E208" s="26"/>
      <c r="F208" s="120"/>
      <c r="G208" s="120"/>
      <c r="H208" s="140" t="s">
        <v>136</v>
      </c>
      <c r="I208" s="135">
        <f>SUM(I207,I179)</f>
        <v>3292.7999999999988</v>
      </c>
      <c r="J208" s="21"/>
      <c r="K208" s="27"/>
      <c r="L208" s="13"/>
    </row>
    <row r="209" spans="1:14" x14ac:dyDescent="0.3">
      <c r="A209" s="27"/>
      <c r="B209" s="27"/>
      <c r="C209" s="26"/>
      <c r="D209" s="13"/>
      <c r="E209" s="26"/>
      <c r="F209" s="120"/>
      <c r="G209" s="120"/>
      <c r="H209" s="120"/>
      <c r="I209" s="89"/>
      <c r="J209" s="21"/>
      <c r="K209" s="27"/>
      <c r="L209" s="13"/>
    </row>
    <row r="210" spans="1:14" ht="62.4" x14ac:dyDescent="0.3">
      <c r="A210" s="128" t="s">
        <v>1</v>
      </c>
      <c r="B210" s="128"/>
      <c r="C210" s="129" t="s">
        <v>42</v>
      </c>
      <c r="D210" s="130" t="s">
        <v>43</v>
      </c>
      <c r="E210" s="131" t="s">
        <v>41</v>
      </c>
      <c r="F210" s="132" t="s">
        <v>23</v>
      </c>
      <c r="G210" s="132" t="s">
        <v>10</v>
      </c>
      <c r="H210" s="132" t="s">
        <v>11</v>
      </c>
      <c r="I210" s="132" t="s">
        <v>7</v>
      </c>
      <c r="J210" s="21"/>
      <c r="K210" s="27"/>
      <c r="L210" s="13"/>
    </row>
    <row r="211" spans="1:14" x14ac:dyDescent="0.3">
      <c r="A211" s="19" t="s">
        <v>18</v>
      </c>
      <c r="B211" s="19"/>
      <c r="C211" s="84"/>
      <c r="D211" s="138"/>
      <c r="E211" s="26"/>
      <c r="F211" s="120"/>
      <c r="G211" s="120"/>
      <c r="H211" s="120"/>
      <c r="I211" s="123"/>
      <c r="J211" s="102"/>
      <c r="K211" s="42"/>
      <c r="L211" s="13"/>
    </row>
    <row r="212" spans="1:14" x14ac:dyDescent="0.3">
      <c r="A212" s="27" t="s">
        <v>451</v>
      </c>
      <c r="B212" s="27">
        <v>3</v>
      </c>
      <c r="C212" s="26">
        <v>56</v>
      </c>
      <c r="D212" s="13">
        <v>28</v>
      </c>
      <c r="E212" s="523">
        <v>1</v>
      </c>
      <c r="F212" s="120">
        <f t="shared" ref="F212:F229" si="46">IF(B212=0,0*C212*$F$2,C212*$F$2)</f>
        <v>67.2</v>
      </c>
      <c r="G212" s="134">
        <f t="array" ref="G212">IF(E212=0,0,IF(E212=1,D212*$G$2,D212*$G$2*2))</f>
        <v>28</v>
      </c>
      <c r="H212" s="134">
        <f t="array" ref="H212">IF(E212&gt;2,D212*(E212-2)*$H$2,0)</f>
        <v>0</v>
      </c>
      <c r="I212" s="89">
        <f>SUM(F212:H212)</f>
        <v>95.2</v>
      </c>
      <c r="J212" s="13" t="s">
        <v>30</v>
      </c>
      <c r="K212" s="27"/>
      <c r="L212" s="13"/>
    </row>
    <row r="213" spans="1:14" x14ac:dyDescent="0.3">
      <c r="A213" s="27" t="s">
        <v>695</v>
      </c>
      <c r="B213" s="27">
        <v>66</v>
      </c>
      <c r="C213" s="26">
        <v>0</v>
      </c>
      <c r="D213" s="13">
        <v>28</v>
      </c>
      <c r="E213" s="523">
        <v>3</v>
      </c>
      <c r="F213" s="120">
        <f t="shared" si="46"/>
        <v>0</v>
      </c>
      <c r="G213" s="134">
        <f t="array" ref="G213">IF(E213=0,0,IF(E213=1,D213*$G$2,D213*$G$2*2))</f>
        <v>56</v>
      </c>
      <c r="H213" s="134">
        <f t="array" ref="H213">IF(E213&gt;2,D213*(E213-2)*$H$2,0)</f>
        <v>22.400000000000002</v>
      </c>
      <c r="I213" s="123">
        <f>SUM(F213:H213)</f>
        <v>78.400000000000006</v>
      </c>
      <c r="J213" s="13" t="s">
        <v>30</v>
      </c>
      <c r="K213" s="27"/>
      <c r="L213" s="13"/>
      <c r="M213" s="27"/>
      <c r="N213" s="27"/>
    </row>
    <row r="214" spans="1:14" x14ac:dyDescent="0.3">
      <c r="A214" s="27" t="s">
        <v>696</v>
      </c>
      <c r="B214" s="27">
        <v>72</v>
      </c>
      <c r="C214" s="26">
        <v>14</v>
      </c>
      <c r="D214" s="13">
        <v>28</v>
      </c>
      <c r="E214" s="523">
        <v>4</v>
      </c>
      <c r="F214" s="120">
        <f t="shared" si="46"/>
        <v>16.8</v>
      </c>
      <c r="G214" s="134">
        <f t="array" ref="G214">IF(E214=0,0,IF(E214=1,D214*$G$2,D214*$G$2*2))</f>
        <v>56</v>
      </c>
      <c r="H214" s="134">
        <f t="array" ref="H214">IF(E214&gt;2,D214*(E214-2)*$H$2,0)</f>
        <v>44.800000000000004</v>
      </c>
      <c r="I214" s="89">
        <f>SUM(F214:H214)</f>
        <v>117.6</v>
      </c>
      <c r="J214" s="13" t="s">
        <v>30</v>
      </c>
      <c r="K214" s="5" t="s">
        <v>448</v>
      </c>
      <c r="L214" s="13"/>
    </row>
    <row r="215" spans="1:14" x14ac:dyDescent="0.3">
      <c r="A215" s="27" t="s">
        <v>497</v>
      </c>
      <c r="B215" s="27">
        <v>3</v>
      </c>
      <c r="C215" s="26">
        <v>36</v>
      </c>
      <c r="D215" s="13">
        <v>12</v>
      </c>
      <c r="E215" s="523">
        <v>1</v>
      </c>
      <c r="F215" s="120">
        <f t="shared" si="46"/>
        <v>43.199999999999996</v>
      </c>
      <c r="G215" s="134">
        <f t="array" ref="G215">IF(E215=0,0,IF(E215=1,D215*$G$2,D215*$G$2*2))</f>
        <v>12</v>
      </c>
      <c r="H215" s="134">
        <f t="array" ref="H215">IF(E215&gt;2,D215*(E215-2)*$H$2,0)</f>
        <v>0</v>
      </c>
      <c r="I215" s="89">
        <f>SUM(F215:H215)</f>
        <v>55.199999999999996</v>
      </c>
      <c r="J215" s="13" t="s">
        <v>30</v>
      </c>
      <c r="K215" s="1" t="s">
        <v>452</v>
      </c>
      <c r="L215" s="13"/>
    </row>
    <row r="216" spans="1:14" x14ac:dyDescent="0.3">
      <c r="A216" s="27" t="s">
        <v>697</v>
      </c>
      <c r="B216" s="27">
        <v>102</v>
      </c>
      <c r="C216" s="26">
        <v>28</v>
      </c>
      <c r="D216" s="13">
        <v>28</v>
      </c>
      <c r="E216" s="523">
        <v>7</v>
      </c>
      <c r="F216" s="120">
        <f t="shared" si="46"/>
        <v>33.6</v>
      </c>
      <c r="G216" s="134">
        <f t="array" ref="G216">IF(E216=0,0,IF(E216=1,D216*$G$2,D216*$G$2*2))</f>
        <v>56</v>
      </c>
      <c r="H216" s="134">
        <f t="array" ref="H216">IF(E216&gt;2,D216*(E216-2)*$H$2,0)</f>
        <v>112</v>
      </c>
      <c r="I216" s="89">
        <f t="shared" ref="I216:I217" si="47">SUM(F216:H216)</f>
        <v>201.6</v>
      </c>
      <c r="J216" s="13" t="s">
        <v>30</v>
      </c>
      <c r="L216" s="13"/>
    </row>
    <row r="217" spans="1:14" x14ac:dyDescent="0.3">
      <c r="A217" s="125" t="s">
        <v>698</v>
      </c>
      <c r="B217" s="125">
        <v>70</v>
      </c>
      <c r="C217" s="26">
        <v>0</v>
      </c>
      <c r="D217" s="13">
        <v>28</v>
      </c>
      <c r="E217" s="523">
        <v>4</v>
      </c>
      <c r="F217" s="120">
        <f t="shared" si="46"/>
        <v>0</v>
      </c>
      <c r="G217" s="134">
        <f t="array" ref="G217">IF(E217=0,0,IF(E217=1,D217*$G$2,D217*$G$2*2))</f>
        <v>56</v>
      </c>
      <c r="H217" s="134">
        <f t="array" ref="H217">IF(E217&gt;2,D217*(E217-2)*$H$2,0)</f>
        <v>44.800000000000004</v>
      </c>
      <c r="I217" s="89">
        <f t="shared" si="47"/>
        <v>100.80000000000001</v>
      </c>
      <c r="J217" s="13" t="s">
        <v>30</v>
      </c>
      <c r="L217" s="13"/>
    </row>
    <row r="218" spans="1:14" x14ac:dyDescent="0.3">
      <c r="A218" s="125" t="s">
        <v>699</v>
      </c>
      <c r="B218" s="125">
        <v>4</v>
      </c>
      <c r="C218" s="26">
        <v>28</v>
      </c>
      <c r="D218" s="13">
        <v>0</v>
      </c>
      <c r="E218" s="523">
        <v>1</v>
      </c>
      <c r="F218" s="120">
        <f t="shared" si="46"/>
        <v>33.6</v>
      </c>
      <c r="G218" s="134">
        <f t="array" ref="G218">IF(E218=0,0,IF(E218=1,D218*$G$2,D218*$G$2*2))</f>
        <v>0</v>
      </c>
      <c r="H218" s="134">
        <f t="array" ref="H218">IF(E218&gt;2,D218*(E218-2)*$H$2,0)</f>
        <v>0</v>
      </c>
      <c r="I218" s="123">
        <f>SUM(F218:H218)</f>
        <v>33.6</v>
      </c>
      <c r="J218" s="13" t="s">
        <v>30</v>
      </c>
      <c r="L218" s="13"/>
    </row>
    <row r="219" spans="1:14" x14ac:dyDescent="0.3">
      <c r="A219" s="125" t="s">
        <v>700</v>
      </c>
      <c r="B219" s="125">
        <v>8</v>
      </c>
      <c r="C219" s="26">
        <v>8</v>
      </c>
      <c r="D219" s="13">
        <v>8</v>
      </c>
      <c r="E219" s="523">
        <v>1</v>
      </c>
      <c r="F219" s="120">
        <f t="shared" si="46"/>
        <v>9.6</v>
      </c>
      <c r="G219" s="134">
        <f t="array" ref="G219">IF(E219=0,0,IF(E219=1,D219*$G$2,D219*$G$2*2))</f>
        <v>8</v>
      </c>
      <c r="H219" s="134">
        <f t="array" ref="H219">IF(E219&gt;2,D219*(E219-2)*$H$2,0)</f>
        <v>0</v>
      </c>
      <c r="I219" s="89">
        <f t="shared" ref="I219:I222" si="48">SUM(F219:H219)</f>
        <v>17.600000000000001</v>
      </c>
      <c r="J219" s="13" t="s">
        <v>30</v>
      </c>
      <c r="L219" s="13"/>
    </row>
    <row r="220" spans="1:14" x14ac:dyDescent="0.3">
      <c r="A220" s="1039" t="s">
        <v>701</v>
      </c>
      <c r="B220" s="1039">
        <v>35</v>
      </c>
      <c r="C220" s="26">
        <v>28</v>
      </c>
      <c r="D220" s="13">
        <v>14</v>
      </c>
      <c r="E220" s="523">
        <v>2</v>
      </c>
      <c r="F220" s="120">
        <f t="shared" si="46"/>
        <v>33.6</v>
      </c>
      <c r="G220" s="134">
        <f t="array" ref="G220">IF(E220=0,0,IF(E220=1,D220*$G$2,D220*$G$2*2))</f>
        <v>28</v>
      </c>
      <c r="H220" s="134">
        <f t="array" ref="H220">IF(E220&gt;2,D220*(E220-2)*$H$2,0)</f>
        <v>0</v>
      </c>
      <c r="I220" s="123">
        <f t="shared" si="48"/>
        <v>61.6</v>
      </c>
      <c r="J220" s="13" t="s">
        <v>30</v>
      </c>
      <c r="L220" s="13"/>
    </row>
    <row r="221" spans="1:14" x14ac:dyDescent="0.3">
      <c r="A221" s="1039" t="s">
        <v>329</v>
      </c>
      <c r="B221" s="1039">
        <v>0</v>
      </c>
      <c r="C221" s="26">
        <v>0</v>
      </c>
      <c r="D221" s="13">
        <v>28</v>
      </c>
      <c r="E221" s="523">
        <v>0</v>
      </c>
      <c r="F221" s="120">
        <f t="shared" si="46"/>
        <v>0</v>
      </c>
      <c r="G221" s="134">
        <f t="array" ref="G221">IF(E221=0,0,IF(E221=1,D221*$G$2,D221*$G$2*2))</f>
        <v>0</v>
      </c>
      <c r="H221" s="134">
        <f t="array" ref="H221">IF(E221&gt;2,D221*(E221-2)*$H$2,0)</f>
        <v>0</v>
      </c>
      <c r="I221" s="89">
        <f t="shared" si="48"/>
        <v>0</v>
      </c>
      <c r="J221" s="13" t="s">
        <v>30</v>
      </c>
      <c r="L221" s="13"/>
    </row>
    <row r="222" spans="1:14" x14ac:dyDescent="0.3">
      <c r="A222" s="27" t="s">
        <v>702</v>
      </c>
      <c r="B222" s="27">
        <v>34</v>
      </c>
      <c r="C222" s="26">
        <v>14</v>
      </c>
      <c r="D222" s="13">
        <v>14</v>
      </c>
      <c r="E222" s="523">
        <v>1</v>
      </c>
      <c r="F222" s="120">
        <f t="shared" si="46"/>
        <v>16.8</v>
      </c>
      <c r="G222" s="134">
        <f t="array" ref="G222">IF(E222=0,0,IF(E222=1,D222*$G$2,D222*$G$2*2))</f>
        <v>14</v>
      </c>
      <c r="H222" s="134">
        <f t="array" ref="H222">IF(E222&gt;2,D222*(E222-2)*$H$2,0)</f>
        <v>0</v>
      </c>
      <c r="I222" s="89">
        <f t="shared" si="48"/>
        <v>30.8</v>
      </c>
      <c r="J222" s="13" t="s">
        <v>30</v>
      </c>
      <c r="L222" s="13"/>
    </row>
    <row r="223" spans="1:14" x14ac:dyDescent="0.3">
      <c r="A223" s="27" t="s">
        <v>703</v>
      </c>
      <c r="B223" s="27">
        <v>21</v>
      </c>
      <c r="C223" s="26">
        <v>28</v>
      </c>
      <c r="D223" s="13">
        <v>28</v>
      </c>
      <c r="E223" s="523">
        <v>1</v>
      </c>
      <c r="F223" s="120">
        <f t="shared" si="46"/>
        <v>33.6</v>
      </c>
      <c r="G223" s="134">
        <f t="array" ref="G223">IF(E223=0,0,IF(E223=1,D223*$G$2,D223*$G$2*2))</f>
        <v>28</v>
      </c>
      <c r="H223" s="134">
        <f t="array" ref="H223">IF(E223&gt;2,D223*(E223-2)*$H$2,0)</f>
        <v>0</v>
      </c>
      <c r="I223" s="89">
        <f>SUM(F223:H223)</f>
        <v>61.6</v>
      </c>
      <c r="J223" s="13" t="s">
        <v>30</v>
      </c>
      <c r="L223" s="13"/>
    </row>
    <row r="224" spans="1:14" x14ac:dyDescent="0.3">
      <c r="A224" s="27" t="s">
        <v>704</v>
      </c>
      <c r="B224" s="27">
        <v>21</v>
      </c>
      <c r="C224" s="26">
        <v>28</v>
      </c>
      <c r="D224" s="13">
        <v>28</v>
      </c>
      <c r="E224" s="523">
        <v>1</v>
      </c>
      <c r="F224" s="120">
        <f t="shared" si="46"/>
        <v>33.6</v>
      </c>
      <c r="G224" s="134">
        <f t="array" ref="G224">IF(E224=0,0,IF(E224=1,D224*$G$2,D224*$G$2*2))</f>
        <v>28</v>
      </c>
      <c r="H224" s="134">
        <f t="array" ref="H224">IF(E224&gt;2,D224*(E224-2)*$H$2,0)</f>
        <v>0</v>
      </c>
      <c r="I224" s="89">
        <f>SUM(F224:H224)</f>
        <v>61.6</v>
      </c>
      <c r="J224" s="13" t="s">
        <v>30</v>
      </c>
      <c r="L224" s="13"/>
    </row>
    <row r="225" spans="1:14" x14ac:dyDescent="0.3">
      <c r="A225" s="1039" t="s">
        <v>705</v>
      </c>
      <c r="B225" s="1039">
        <v>36</v>
      </c>
      <c r="C225" s="26">
        <v>8</v>
      </c>
      <c r="D225" s="13">
        <v>4</v>
      </c>
      <c r="E225" s="523">
        <v>1</v>
      </c>
      <c r="F225" s="120">
        <f t="shared" si="46"/>
        <v>9.6</v>
      </c>
      <c r="G225" s="134">
        <f t="array" ref="G225">IF(E225=0,0,IF(E225=1,D225*$G$2,D225*$G$2*2))</f>
        <v>4</v>
      </c>
      <c r="H225" s="134">
        <f t="array" ref="H225">IF(E225&gt;2,D225*(E225-2)*$H$2,0)</f>
        <v>0</v>
      </c>
      <c r="I225" s="89">
        <f>SUM(F225:H225)</f>
        <v>13.6</v>
      </c>
      <c r="J225" s="13" t="s">
        <v>30</v>
      </c>
      <c r="K225" s="1" t="s">
        <v>992</v>
      </c>
      <c r="L225" s="13"/>
    </row>
    <row r="226" spans="1:14" x14ac:dyDescent="0.3">
      <c r="A226" s="1039" t="s">
        <v>706</v>
      </c>
      <c r="B226" s="1039">
        <v>32</v>
      </c>
      <c r="C226" s="26">
        <v>4</v>
      </c>
      <c r="D226" s="13">
        <v>4</v>
      </c>
      <c r="E226" s="523">
        <v>1</v>
      </c>
      <c r="F226" s="120">
        <f t="shared" si="46"/>
        <v>4.8</v>
      </c>
      <c r="G226" s="134">
        <f t="array" ref="G226">IF(E226=0,0,IF(E226=1,D226*$G$2,D226*$G$2*2))</f>
        <v>4</v>
      </c>
      <c r="H226" s="134">
        <f t="array" ref="H226">IF(E226&gt;2,D226*(E226-2)*$H$2,0)</f>
        <v>0</v>
      </c>
      <c r="I226" s="89">
        <f>SUM(F226:H226)</f>
        <v>8.8000000000000007</v>
      </c>
      <c r="J226" s="13" t="s">
        <v>30</v>
      </c>
      <c r="K226" s="1" t="s">
        <v>992</v>
      </c>
      <c r="L226" s="13"/>
    </row>
    <row r="227" spans="1:14" s="27" customFormat="1" x14ac:dyDescent="0.3">
      <c r="A227" s="142" t="s">
        <v>453</v>
      </c>
      <c r="B227" s="142">
        <v>0</v>
      </c>
      <c r="C227" s="26">
        <v>0</v>
      </c>
      <c r="D227" s="13">
        <v>14</v>
      </c>
      <c r="E227" s="523">
        <v>0</v>
      </c>
      <c r="F227" s="120">
        <f t="shared" si="46"/>
        <v>0</v>
      </c>
      <c r="G227" s="134">
        <f t="array" ref="G227">IF(E227=0,0,IF(E227=1,D227*$G$2,D227*$G$2*2))</f>
        <v>0</v>
      </c>
      <c r="H227" s="134">
        <f t="array" ref="H227">IF(E227&gt;2,D227*(E227-2)*$H$2,0)</f>
        <v>0</v>
      </c>
      <c r="I227" s="89">
        <f t="shared" ref="I227:I228" si="49">SUM(F227:H227)</f>
        <v>0</v>
      </c>
      <c r="J227" s="13" t="s">
        <v>30</v>
      </c>
      <c r="K227" s="1"/>
      <c r="L227" s="13"/>
      <c r="M227" s="1"/>
      <c r="N227" s="1"/>
    </row>
    <row r="228" spans="1:14" s="27" customFormat="1" x14ac:dyDescent="0.3">
      <c r="A228" s="142" t="s">
        <v>707</v>
      </c>
      <c r="B228" s="142">
        <v>18</v>
      </c>
      <c r="C228" s="26">
        <v>28</v>
      </c>
      <c r="D228" s="13">
        <v>28</v>
      </c>
      <c r="E228" s="523">
        <v>2</v>
      </c>
      <c r="F228" s="120">
        <f t="shared" si="46"/>
        <v>33.6</v>
      </c>
      <c r="G228" s="134">
        <f t="array" ref="G228">IF(E228=0,0,IF(E228=1,D228*$G$2,D228*$G$2*2))</f>
        <v>56</v>
      </c>
      <c r="H228" s="134">
        <f t="array" ref="H228">IF(E228&gt;2,D228*(E228-2)*$H$2,0)</f>
        <v>0</v>
      </c>
      <c r="I228" s="89">
        <f t="shared" si="49"/>
        <v>89.6</v>
      </c>
      <c r="J228" s="13" t="s">
        <v>30</v>
      </c>
      <c r="L228" s="13"/>
      <c r="M228" s="1"/>
      <c r="N228" s="1"/>
    </row>
    <row r="229" spans="1:14" s="27" customFormat="1" ht="16.2" thickBot="1" x14ac:dyDescent="0.35">
      <c r="A229" s="142" t="s">
        <v>708</v>
      </c>
      <c r="B229" s="142">
        <v>12</v>
      </c>
      <c r="C229" s="26">
        <v>10</v>
      </c>
      <c r="D229" s="13">
        <v>6</v>
      </c>
      <c r="E229" s="523">
        <v>1</v>
      </c>
      <c r="F229" s="120">
        <f t="shared" si="46"/>
        <v>12</v>
      </c>
      <c r="G229" s="134">
        <f t="array" ref="G229">IF(E229=0,0,IF(E229=1,D229*$G$2,D229*$G$2*2))</f>
        <v>6</v>
      </c>
      <c r="H229" s="134">
        <f t="array" ref="H229">IF(E229&gt;2,D229*(E229-2)*$H$2,0)</f>
        <v>0</v>
      </c>
      <c r="I229" s="89">
        <f>SUM(F229:H229)</f>
        <v>18</v>
      </c>
      <c r="J229" s="13" t="s">
        <v>30</v>
      </c>
      <c r="L229" s="13"/>
      <c r="M229" s="1"/>
      <c r="N229" s="1"/>
    </row>
    <row r="230" spans="1:14" ht="16.2" thickBot="1" x14ac:dyDescent="0.35">
      <c r="A230" s="19" t="s">
        <v>19</v>
      </c>
      <c r="B230" s="19"/>
      <c r="C230" s="26"/>
      <c r="D230" s="13"/>
      <c r="E230" s="26"/>
      <c r="F230" s="120"/>
      <c r="I230" s="135">
        <f>SUM(I212:I229)</f>
        <v>1045.5999999999999</v>
      </c>
      <c r="J230" s="13"/>
      <c r="K230" s="27"/>
      <c r="L230" s="13"/>
    </row>
    <row r="231" spans="1:14" x14ac:dyDescent="0.3">
      <c r="A231" s="27" t="s">
        <v>709</v>
      </c>
      <c r="B231" s="27">
        <v>46</v>
      </c>
      <c r="C231" s="26">
        <v>28</v>
      </c>
      <c r="D231" s="13">
        <v>56</v>
      </c>
      <c r="E231" s="523">
        <v>2</v>
      </c>
      <c r="F231" s="120">
        <f>IF(B231=0,0*C231*$F$2,C231*$F$2)</f>
        <v>33.6</v>
      </c>
      <c r="G231" s="134">
        <f t="array" ref="G231">IF(E231=0,0,IF(E231=1,D231*$G$2,D231*$G$2*2))</f>
        <v>112</v>
      </c>
      <c r="H231" s="134">
        <f t="array" ref="H231">IF(E231&gt;2,D231*(E231-2)*$H$2,0)</f>
        <v>0</v>
      </c>
      <c r="I231" s="123">
        <f>SUM(F231:H231)</f>
        <v>145.6</v>
      </c>
      <c r="J231" s="13" t="s">
        <v>30</v>
      </c>
      <c r="K231" s="27"/>
      <c r="L231" s="13"/>
    </row>
    <row r="232" spans="1:14" x14ac:dyDescent="0.3">
      <c r="A232" s="27" t="s">
        <v>710</v>
      </c>
      <c r="B232" s="27">
        <v>56</v>
      </c>
      <c r="C232" s="26">
        <v>28</v>
      </c>
      <c r="D232" s="13">
        <v>28</v>
      </c>
      <c r="E232" s="523">
        <v>4</v>
      </c>
      <c r="F232" s="120">
        <f t="shared" ref="F232:F248" si="50">IF(B232=0,0*C232*$F$2,C232*$F$2)</f>
        <v>33.6</v>
      </c>
      <c r="G232" s="134">
        <f t="array" ref="G232">IF(E232=0,0,IF(E232=1,D232*$G$2,D232*$G$2*2))</f>
        <v>56</v>
      </c>
      <c r="H232" s="134">
        <f t="array" ref="H232">IF(E232&gt;2,D232*(E232-2)*$H$2,0)</f>
        <v>44.800000000000004</v>
      </c>
      <c r="I232" s="89">
        <f t="shared" ref="I232:I233" si="51">SUM(F232:H232)</f>
        <v>134.4</v>
      </c>
      <c r="J232" s="13" t="s">
        <v>30</v>
      </c>
      <c r="K232" s="27"/>
      <c r="L232" s="13"/>
    </row>
    <row r="233" spans="1:14" x14ac:dyDescent="0.3">
      <c r="A233" s="27" t="s">
        <v>711</v>
      </c>
      <c r="B233" s="27">
        <v>4</v>
      </c>
      <c r="C233" s="26">
        <v>0</v>
      </c>
      <c r="D233" s="13">
        <v>24</v>
      </c>
      <c r="E233" s="523">
        <v>1</v>
      </c>
      <c r="F233" s="120">
        <f t="shared" si="50"/>
        <v>0</v>
      </c>
      <c r="G233" s="134">
        <f t="array" ref="G233">IF(E233=0,0,IF(E233=1,D233*$G$2,D233*$G$2*2))</f>
        <v>24</v>
      </c>
      <c r="H233" s="134">
        <f t="array" ref="H233">IF(E233&gt;2,D233*(E233-2)*$H$2,0)</f>
        <v>0</v>
      </c>
      <c r="I233" s="123">
        <f t="shared" si="51"/>
        <v>24</v>
      </c>
      <c r="J233" s="13" t="s">
        <v>30</v>
      </c>
      <c r="K233" s="1" t="s">
        <v>993</v>
      </c>
      <c r="L233" s="13"/>
    </row>
    <row r="234" spans="1:14" x14ac:dyDescent="0.3">
      <c r="A234" s="27" t="s">
        <v>712</v>
      </c>
      <c r="B234" s="27">
        <v>4</v>
      </c>
      <c r="C234" s="26">
        <v>28</v>
      </c>
      <c r="D234" s="13">
        <v>28</v>
      </c>
      <c r="E234" s="523">
        <v>1</v>
      </c>
      <c r="F234" s="120">
        <f t="shared" si="50"/>
        <v>33.6</v>
      </c>
      <c r="G234" s="134">
        <f t="array" ref="G234">IF(E234=0,0,IF(E234=1,D234*$G$2,D234*$G$2*2))</f>
        <v>28</v>
      </c>
      <c r="H234" s="134">
        <f t="array" ref="H234">IF(E234&gt;2,D234*(E234-2)*$H$2,0)</f>
        <v>0</v>
      </c>
      <c r="I234" s="123">
        <f>SUM(F234:H234)</f>
        <v>61.6</v>
      </c>
      <c r="J234" s="13" t="s">
        <v>30</v>
      </c>
      <c r="K234" s="1" t="s">
        <v>454</v>
      </c>
      <c r="L234" s="13"/>
    </row>
    <row r="235" spans="1:14" x14ac:dyDescent="0.3">
      <c r="A235" s="27" t="s">
        <v>713</v>
      </c>
      <c r="B235" s="27">
        <v>34</v>
      </c>
      <c r="C235" s="26">
        <v>42</v>
      </c>
      <c r="D235" s="13">
        <v>42</v>
      </c>
      <c r="E235" s="523">
        <v>2</v>
      </c>
      <c r="F235" s="120">
        <f t="shared" si="50"/>
        <v>50.4</v>
      </c>
      <c r="G235" s="134">
        <f t="array" ref="G235">IF(E235=0,0,IF(E235=1,D235*$G$2,D235*$G$2*2))</f>
        <v>84</v>
      </c>
      <c r="H235" s="134">
        <f t="array" ref="H235">IF(E235&gt;2,D235*(E235-2)*$H$2,0)</f>
        <v>0</v>
      </c>
      <c r="I235" s="123">
        <f t="shared" ref="I235:I236" si="52">SUM(F235:H235)</f>
        <v>134.4</v>
      </c>
      <c r="J235" s="13" t="s">
        <v>30</v>
      </c>
      <c r="L235" s="13"/>
    </row>
    <row r="236" spans="1:14" x14ac:dyDescent="0.3">
      <c r="A236" s="142" t="s">
        <v>714</v>
      </c>
      <c r="B236" s="142">
        <v>4</v>
      </c>
      <c r="C236" s="26">
        <v>28</v>
      </c>
      <c r="D236" s="13">
        <v>28</v>
      </c>
      <c r="E236" s="523">
        <v>1</v>
      </c>
      <c r="F236" s="120">
        <f t="shared" si="50"/>
        <v>33.6</v>
      </c>
      <c r="G236" s="134">
        <f t="array" ref="G236">IF(E236=0,0,IF(E236=1,D236*$G$2,D236*$G$2*2))</f>
        <v>28</v>
      </c>
      <c r="H236" s="134">
        <f t="array" ref="H236">IF(E236&gt;2,D236*(E236-2)*$H$2,0)</f>
        <v>0</v>
      </c>
      <c r="I236" s="89">
        <f t="shared" si="52"/>
        <v>61.6</v>
      </c>
      <c r="J236" s="13" t="s">
        <v>30</v>
      </c>
      <c r="L236" s="13"/>
    </row>
    <row r="237" spans="1:14" x14ac:dyDescent="0.3">
      <c r="A237" s="142" t="s">
        <v>716</v>
      </c>
      <c r="B237" s="142">
        <v>4</v>
      </c>
      <c r="C237" s="26">
        <v>28</v>
      </c>
      <c r="D237" s="13">
        <v>28</v>
      </c>
      <c r="E237" s="523">
        <v>1</v>
      </c>
      <c r="F237" s="120">
        <f t="shared" si="50"/>
        <v>33.6</v>
      </c>
      <c r="G237" s="134">
        <f t="array" ref="G237">IF(E237=0,0,IF(E237=1,D237*$G$2,D237*$G$2*2))</f>
        <v>28</v>
      </c>
      <c r="H237" s="134">
        <f t="array" ref="H237">IF(E237&gt;2,D237*(E237-2)*$H$2,0)</f>
        <v>0</v>
      </c>
      <c r="I237" s="89">
        <f>SUM(F237:H237)</f>
        <v>61.6</v>
      </c>
      <c r="J237" s="13" t="s">
        <v>30</v>
      </c>
      <c r="L237" s="13"/>
    </row>
    <row r="238" spans="1:14" x14ac:dyDescent="0.3">
      <c r="A238" s="142" t="s">
        <v>717</v>
      </c>
      <c r="B238" s="142">
        <v>50</v>
      </c>
      <c r="C238" s="26">
        <v>28</v>
      </c>
      <c r="D238" s="13">
        <v>28</v>
      </c>
      <c r="E238" s="523">
        <v>2</v>
      </c>
      <c r="F238" s="120">
        <f t="shared" si="50"/>
        <v>33.6</v>
      </c>
      <c r="G238" s="134">
        <f t="array" ref="G238">IF(E238=0,0,IF(E238=1,D238*$G$2,D238*$G$2*2))</f>
        <v>56</v>
      </c>
      <c r="H238" s="134">
        <f t="array" ref="H238">IF(E238&gt;2,D238*(E238-2)*$H$2,0)</f>
        <v>0</v>
      </c>
      <c r="I238" s="123">
        <f>SUM(F238:H238)</f>
        <v>89.6</v>
      </c>
      <c r="J238" s="13" t="s">
        <v>30</v>
      </c>
      <c r="L238" s="13"/>
    </row>
    <row r="239" spans="1:14" x14ac:dyDescent="0.3">
      <c r="A239" s="142" t="s">
        <v>718</v>
      </c>
      <c r="B239" s="142">
        <v>29</v>
      </c>
      <c r="C239" s="26">
        <v>28</v>
      </c>
      <c r="D239" s="13">
        <v>28</v>
      </c>
      <c r="E239" s="523">
        <v>2</v>
      </c>
      <c r="F239" s="120">
        <f t="shared" si="50"/>
        <v>33.6</v>
      </c>
      <c r="G239" s="134">
        <f t="array" ref="G239">IF(E239=0,0,IF(E239=1,D239*$G$2,D239*$G$2*2))</f>
        <v>56</v>
      </c>
      <c r="H239" s="134">
        <f t="array" ref="H239">IF(E239&gt;2,D239*(E239-2)*$H$2,0)</f>
        <v>0</v>
      </c>
      <c r="I239" s="123">
        <f t="shared" ref="I239:I249" si="53">SUM(F239:H239)</f>
        <v>89.6</v>
      </c>
      <c r="J239" s="13" t="s">
        <v>30</v>
      </c>
      <c r="L239" s="13"/>
      <c r="M239" s="27"/>
      <c r="N239" s="27"/>
    </row>
    <row r="240" spans="1:14" s="19" customFormat="1" x14ac:dyDescent="0.3">
      <c r="A240" s="142" t="s">
        <v>719</v>
      </c>
      <c r="B240" s="142">
        <v>39</v>
      </c>
      <c r="C240" s="26">
        <v>28</v>
      </c>
      <c r="D240" s="13">
        <v>28</v>
      </c>
      <c r="E240" s="523">
        <v>2</v>
      </c>
      <c r="F240" s="120">
        <f t="shared" si="50"/>
        <v>33.6</v>
      </c>
      <c r="G240" s="134">
        <f t="array" ref="G240">IF(E240=0,0,IF(E240=1,D240*$G$2,D240*$G$2*2))</f>
        <v>56</v>
      </c>
      <c r="H240" s="134">
        <f t="array" ref="H240">IF(E240&gt;2,D240*(E240-2)*$H$2,0)</f>
        <v>0</v>
      </c>
      <c r="I240" s="123">
        <f t="shared" si="53"/>
        <v>89.6</v>
      </c>
      <c r="J240" s="13" t="s">
        <v>30</v>
      </c>
      <c r="K240" s="1"/>
      <c r="L240" s="13"/>
      <c r="M240" s="1"/>
      <c r="N240" s="1"/>
    </row>
    <row r="241" spans="1:14" x14ac:dyDescent="0.3">
      <c r="A241" s="142" t="s">
        <v>720</v>
      </c>
      <c r="B241" s="142">
        <v>57</v>
      </c>
      <c r="C241" s="26">
        <v>28</v>
      </c>
      <c r="D241" s="13">
        <v>28</v>
      </c>
      <c r="E241" s="523">
        <v>3</v>
      </c>
      <c r="F241" s="120">
        <f t="shared" si="50"/>
        <v>33.6</v>
      </c>
      <c r="G241" s="134">
        <f t="array" ref="G241">IF(E241=0,0,IF(E241=1,D241*$G$2,D241*$G$2*2))</f>
        <v>56</v>
      </c>
      <c r="H241" s="134">
        <f t="array" ref="H241">IF(E241&gt;2,D241*(E241-2)*$H$2,0)</f>
        <v>22.400000000000002</v>
      </c>
      <c r="I241" s="123">
        <f t="shared" si="53"/>
        <v>112</v>
      </c>
      <c r="J241" s="13" t="s">
        <v>30</v>
      </c>
      <c r="L241" s="13"/>
    </row>
    <row r="242" spans="1:14" x14ac:dyDescent="0.3">
      <c r="A242" s="1039" t="s">
        <v>721</v>
      </c>
      <c r="B242" s="1039">
        <v>13</v>
      </c>
      <c r="C242" s="26">
        <v>28</v>
      </c>
      <c r="D242" s="13">
        <v>28</v>
      </c>
      <c r="E242" s="523">
        <v>1</v>
      </c>
      <c r="F242" s="120">
        <f t="shared" si="50"/>
        <v>33.6</v>
      </c>
      <c r="G242" s="134">
        <f t="array" ref="G242">IF(E242=0,0,IF(E242=1,D242*$G$2,D242*$G$2*2))</f>
        <v>28</v>
      </c>
      <c r="H242" s="134">
        <f t="array" ref="H242">IF(E242&gt;2,D242*(E242-2)*$H$2,0)</f>
        <v>0</v>
      </c>
      <c r="I242" s="89">
        <f t="shared" si="53"/>
        <v>61.6</v>
      </c>
      <c r="J242" s="13" t="s">
        <v>30</v>
      </c>
      <c r="K242" s="2"/>
      <c r="L242" s="13"/>
    </row>
    <row r="243" spans="1:14" x14ac:dyDescent="0.3">
      <c r="A243" s="1039" t="s">
        <v>722</v>
      </c>
      <c r="B243" s="1039">
        <v>6</v>
      </c>
      <c r="C243" s="26">
        <v>12</v>
      </c>
      <c r="D243" s="13">
        <v>4</v>
      </c>
      <c r="E243" s="523">
        <v>1</v>
      </c>
      <c r="F243" s="120">
        <f t="shared" si="50"/>
        <v>14.399999999999999</v>
      </c>
      <c r="G243" s="134">
        <f t="array" ref="G243">IF(E243=0,0,IF(E243=1,D243*$G$2,D243*$G$2*2))</f>
        <v>4</v>
      </c>
      <c r="H243" s="134">
        <f t="array" ref="H243">IF(E243&gt;2,D243*(E243-2)*$H$2,0)</f>
        <v>0</v>
      </c>
      <c r="I243" s="123">
        <f t="shared" si="53"/>
        <v>18.399999999999999</v>
      </c>
      <c r="J243" s="13" t="s">
        <v>30</v>
      </c>
      <c r="L243" s="13"/>
      <c r="M243" s="19"/>
      <c r="N243" s="19"/>
    </row>
    <row r="244" spans="1:14" s="27" customFormat="1" x14ac:dyDescent="0.3">
      <c r="A244" s="1039" t="s">
        <v>723</v>
      </c>
      <c r="B244" s="1039">
        <v>6</v>
      </c>
      <c r="C244" s="26">
        <v>10</v>
      </c>
      <c r="D244" s="13">
        <v>6</v>
      </c>
      <c r="E244" s="523">
        <v>1</v>
      </c>
      <c r="F244" s="120">
        <f t="shared" si="50"/>
        <v>12</v>
      </c>
      <c r="G244" s="134">
        <f t="array" ref="G244">IF(E244=0,0,IF(E244=1,D244*$G$2,D244*$G$2*2))</f>
        <v>6</v>
      </c>
      <c r="H244" s="134">
        <f t="array" ref="H244">IF(E244&gt;2,D244*(E244-2)*$H$2,0)</f>
        <v>0</v>
      </c>
      <c r="I244" s="123">
        <f t="shared" si="53"/>
        <v>18</v>
      </c>
      <c r="J244" s="13" t="s">
        <v>30</v>
      </c>
      <c r="K244" s="1"/>
      <c r="L244" s="13"/>
      <c r="M244" s="19"/>
      <c r="N244" s="19"/>
    </row>
    <row r="245" spans="1:14" s="27" customFormat="1" x14ac:dyDescent="0.3">
      <c r="A245" s="125" t="s">
        <v>724</v>
      </c>
      <c r="B245" s="125">
        <v>10</v>
      </c>
      <c r="C245" s="26">
        <v>28</v>
      </c>
      <c r="D245" s="13">
        <v>14</v>
      </c>
      <c r="E245" s="523">
        <v>1</v>
      </c>
      <c r="F245" s="120">
        <f t="shared" si="50"/>
        <v>33.6</v>
      </c>
      <c r="G245" s="134">
        <f t="array" ref="G245">IF(E245=0,0,IF(E245=1,D245*$G$2,D245*$G$2*2))</f>
        <v>14</v>
      </c>
      <c r="H245" s="134">
        <f t="array" ref="H245">IF(E245&gt;2,D245*(E245-2)*$H$2,0)</f>
        <v>0</v>
      </c>
      <c r="I245" s="89">
        <f t="shared" si="53"/>
        <v>47.6</v>
      </c>
      <c r="J245" s="13" t="s">
        <v>30</v>
      </c>
      <c r="K245" s="1"/>
      <c r="L245" s="13"/>
    </row>
    <row r="246" spans="1:14" s="27" customFormat="1" x14ac:dyDescent="0.3">
      <c r="A246" s="125" t="s">
        <v>725</v>
      </c>
      <c r="B246" s="125">
        <v>27</v>
      </c>
      <c r="C246" s="26">
        <v>14</v>
      </c>
      <c r="D246" s="13">
        <v>14</v>
      </c>
      <c r="E246" s="523">
        <v>1</v>
      </c>
      <c r="F246" s="120">
        <f t="shared" si="50"/>
        <v>16.8</v>
      </c>
      <c r="G246" s="134">
        <f t="array" ref="G246">IF(E246=0,0,IF(E246=1,D246*$G$2,D246*$G$2*2))</f>
        <v>14</v>
      </c>
      <c r="H246" s="134">
        <f t="array" ref="H246">IF(E246&gt;2,D246*(E246-2)*$H$2,0)</f>
        <v>0</v>
      </c>
      <c r="I246" s="89">
        <f t="shared" si="53"/>
        <v>30.8</v>
      </c>
      <c r="J246" s="13" t="s">
        <v>30</v>
      </c>
      <c r="K246" s="1"/>
      <c r="L246" s="13"/>
    </row>
    <row r="247" spans="1:14" x14ac:dyDescent="0.3">
      <c r="A247" s="125" t="s">
        <v>726</v>
      </c>
      <c r="B247" s="125">
        <v>23</v>
      </c>
      <c r="C247" s="26">
        <v>22</v>
      </c>
      <c r="D247" s="13">
        <v>22</v>
      </c>
      <c r="E247" s="523">
        <v>2</v>
      </c>
      <c r="F247" s="120">
        <f t="shared" si="50"/>
        <v>26.4</v>
      </c>
      <c r="G247" s="134">
        <f t="array" ref="G247">IF(E247=0,0,IF(E247=1,D247*$G$2,D247*$G$2*2))</f>
        <v>44</v>
      </c>
      <c r="H247" s="134">
        <f t="array" ref="H247">IF(E247&gt;2,D247*(E247-2)*$H$2,0)</f>
        <v>0</v>
      </c>
      <c r="I247" s="89">
        <f t="shared" si="53"/>
        <v>70.400000000000006</v>
      </c>
      <c r="J247" s="13" t="s">
        <v>30</v>
      </c>
      <c r="L247" s="13"/>
    </row>
    <row r="248" spans="1:14" x14ac:dyDescent="0.3">
      <c r="A248" s="125" t="s">
        <v>727</v>
      </c>
      <c r="B248" s="125">
        <v>23</v>
      </c>
      <c r="C248" s="26">
        <v>11</v>
      </c>
      <c r="D248" s="13">
        <v>22</v>
      </c>
      <c r="E248" s="523">
        <v>1</v>
      </c>
      <c r="F248" s="120">
        <f t="shared" si="50"/>
        <v>13.2</v>
      </c>
      <c r="G248" s="134">
        <f t="array" ref="G248">IF(E248=0,0,IF(E248=1,D248*$G$2,D248*$G$2*2))</f>
        <v>22</v>
      </c>
      <c r="H248" s="134">
        <f t="array" ref="H248">IF(E248&gt;2,D248*(E248-2)*$H$2,0)</f>
        <v>0</v>
      </c>
      <c r="I248" s="89">
        <f t="shared" si="53"/>
        <v>35.200000000000003</v>
      </c>
      <c r="J248" s="13" t="s">
        <v>30</v>
      </c>
      <c r="K248" s="1">
        <v>4.1900000000000004</v>
      </c>
      <c r="L248" s="13"/>
    </row>
    <row r="249" spans="1:14" s="27" customFormat="1" ht="16.2" thickBot="1" x14ac:dyDescent="0.35">
      <c r="A249" s="125" t="s">
        <v>498</v>
      </c>
      <c r="B249" s="125">
        <v>9</v>
      </c>
      <c r="C249" s="26">
        <v>4</v>
      </c>
      <c r="D249" s="13">
        <v>8</v>
      </c>
      <c r="E249" s="523">
        <v>1</v>
      </c>
      <c r="F249" s="120">
        <f>IF(B249=0,0*C249*$F$2,C249*$F$2)</f>
        <v>4.8</v>
      </c>
      <c r="G249" s="134">
        <f t="array" ref="G249">IF(E249=0,0,IF(E249=1,D249*$G$2,D249*$G$2*2))</f>
        <v>8</v>
      </c>
      <c r="H249" s="134">
        <f t="array" ref="H249">IF(E249&gt;2,D249*(E249-2)*$H$2,0)</f>
        <v>0</v>
      </c>
      <c r="I249" s="89">
        <f t="shared" si="53"/>
        <v>12.8</v>
      </c>
      <c r="J249" s="13" t="s">
        <v>30</v>
      </c>
      <c r="K249" s="1"/>
      <c r="L249" s="13"/>
    </row>
    <row r="250" spans="1:14" ht="16.2" thickBot="1" x14ac:dyDescent="0.35">
      <c r="A250" s="19" t="s">
        <v>20</v>
      </c>
      <c r="B250" s="19"/>
      <c r="C250" s="84"/>
      <c r="D250" s="13"/>
      <c r="E250" s="26"/>
      <c r="F250" s="120"/>
      <c r="I250" s="135">
        <f>SUM(I231:I249)</f>
        <v>1298.8000000000002</v>
      </c>
      <c r="J250" s="13"/>
      <c r="L250" s="13"/>
    </row>
    <row r="251" spans="1:14" x14ac:dyDescent="0.3">
      <c r="A251" s="27" t="s">
        <v>728</v>
      </c>
      <c r="B251" s="1036">
        <v>2</v>
      </c>
      <c r="C251" s="26">
        <v>14</v>
      </c>
      <c r="D251" s="13">
        <v>14</v>
      </c>
      <c r="E251" s="523">
        <v>1</v>
      </c>
      <c r="F251" s="120">
        <f>IF(B251=0,0*C251*$F$2,C251*$F$2)</f>
        <v>16.8</v>
      </c>
      <c r="G251" s="134">
        <f t="array" ref="G251">IF(E251=0,0,IF(E251=1,D251*$G$2,D251*$G$2*2))</f>
        <v>14</v>
      </c>
      <c r="H251" s="134">
        <f t="array" ref="H251">IF(E251&gt;2,D251*(E251-2)*$H$2,0)</f>
        <v>0</v>
      </c>
      <c r="I251" s="123">
        <f t="shared" ref="I251:I260" si="54">SUM(F251:H251)</f>
        <v>30.8</v>
      </c>
      <c r="J251" s="13" t="s">
        <v>30</v>
      </c>
      <c r="K251" s="1" t="s">
        <v>994</v>
      </c>
      <c r="L251" s="13"/>
    </row>
    <row r="252" spans="1:14" x14ac:dyDescent="0.3">
      <c r="A252" s="27" t="s">
        <v>729</v>
      </c>
      <c r="B252" s="1036">
        <v>2</v>
      </c>
      <c r="C252" s="26">
        <v>28</v>
      </c>
      <c r="D252" s="13">
        <v>28</v>
      </c>
      <c r="E252" s="523">
        <v>1</v>
      </c>
      <c r="F252" s="120">
        <f t="shared" ref="F252:F273" si="55">IF(B252=0,0*C252*$F$2,C252*$F$2)</f>
        <v>33.6</v>
      </c>
      <c r="G252" s="134">
        <f t="array" ref="G252">IF(E252=0,0,IF(E252=1,D252*$G$2,D252*$G$2*2))</f>
        <v>28</v>
      </c>
      <c r="H252" s="134">
        <f t="array" ref="H252">IF(E252&gt;2,D252*(E252-2)*$H$2,0)</f>
        <v>0</v>
      </c>
      <c r="I252" s="123">
        <f t="shared" si="54"/>
        <v>61.6</v>
      </c>
      <c r="J252" s="13" t="s">
        <v>30</v>
      </c>
      <c r="L252" s="13"/>
    </row>
    <row r="253" spans="1:14" x14ac:dyDescent="0.3">
      <c r="A253" s="27" t="s">
        <v>262</v>
      </c>
      <c r="B253" s="27">
        <v>0</v>
      </c>
      <c r="C253" s="26">
        <v>0</v>
      </c>
      <c r="D253" s="13">
        <v>28</v>
      </c>
      <c r="E253" s="523">
        <v>0</v>
      </c>
      <c r="F253" s="120">
        <f t="shared" si="55"/>
        <v>0</v>
      </c>
      <c r="G253" s="134">
        <f t="array" ref="G253">IF(E253=0,0,IF(E253=1,D253*$G$2,D253*$G$2*2))</f>
        <v>0</v>
      </c>
      <c r="H253" s="134">
        <f t="array" ref="H253">IF(E253&gt;2,D253*(E253-2)*$H$2,0)</f>
        <v>0</v>
      </c>
      <c r="I253" s="123">
        <f t="shared" si="54"/>
        <v>0</v>
      </c>
      <c r="J253" s="13" t="s">
        <v>30</v>
      </c>
      <c r="L253" s="13"/>
    </row>
    <row r="254" spans="1:14" x14ac:dyDescent="0.3">
      <c r="A254" s="27" t="s">
        <v>730</v>
      </c>
      <c r="B254" s="27">
        <v>26</v>
      </c>
      <c r="C254" s="26">
        <v>28</v>
      </c>
      <c r="D254" s="13">
        <v>28</v>
      </c>
      <c r="E254" s="523">
        <v>1</v>
      </c>
      <c r="F254" s="120">
        <f t="shared" si="55"/>
        <v>33.6</v>
      </c>
      <c r="G254" s="134">
        <f t="array" ref="G254">IF(E254=0,0,IF(E254=1,D254*$G$2,D254*$G$2*2))</f>
        <v>28</v>
      </c>
      <c r="H254" s="134">
        <f t="array" ref="H254">IF(E254&gt;2,D254*(E254-2)*$H$2,0)</f>
        <v>0</v>
      </c>
      <c r="I254" s="123">
        <f t="shared" si="54"/>
        <v>61.6</v>
      </c>
      <c r="J254" s="13" t="s">
        <v>30</v>
      </c>
      <c r="L254" s="13"/>
    </row>
    <row r="255" spans="1:14" x14ac:dyDescent="0.3">
      <c r="A255" s="27" t="s">
        <v>731</v>
      </c>
      <c r="B255" s="27">
        <v>24</v>
      </c>
      <c r="C255" s="26">
        <v>28</v>
      </c>
      <c r="D255" s="13">
        <v>28</v>
      </c>
      <c r="E255" s="523">
        <v>1</v>
      </c>
      <c r="F255" s="120">
        <f t="shared" si="55"/>
        <v>33.6</v>
      </c>
      <c r="G255" s="134">
        <f t="array" ref="G255">IF(E255=0,0,IF(E255=1,D255*$G$2,D255*$G$2*2))</f>
        <v>28</v>
      </c>
      <c r="H255" s="134">
        <f t="array" ref="H255">IF(E255&gt;2,D255*(E255-2)*$H$2,0)</f>
        <v>0</v>
      </c>
      <c r="I255" s="123">
        <f t="shared" si="54"/>
        <v>61.6</v>
      </c>
      <c r="J255" s="13" t="s">
        <v>30</v>
      </c>
      <c r="L255" s="13"/>
    </row>
    <row r="256" spans="1:14" x14ac:dyDescent="0.3">
      <c r="A256" s="27" t="s">
        <v>732</v>
      </c>
      <c r="B256" s="27">
        <v>8</v>
      </c>
      <c r="C256" s="26">
        <v>28</v>
      </c>
      <c r="D256" s="13">
        <v>28</v>
      </c>
      <c r="E256" s="523">
        <v>1</v>
      </c>
      <c r="F256" s="120">
        <f t="shared" si="55"/>
        <v>33.6</v>
      </c>
      <c r="G256" s="134">
        <f t="array" ref="G256">IF(E256=0,0,IF(E256=1,D256*$G$2,D256*$G$2*2))</f>
        <v>28</v>
      </c>
      <c r="H256" s="134">
        <f t="array" ref="H256">IF(E256&gt;2,D256*(E256-2)*$H$2,0)</f>
        <v>0</v>
      </c>
      <c r="I256" s="123">
        <f t="shared" si="54"/>
        <v>61.6</v>
      </c>
      <c r="J256" s="13" t="s">
        <v>30</v>
      </c>
      <c r="L256" s="13"/>
    </row>
    <row r="257" spans="1:14" x14ac:dyDescent="0.3">
      <c r="A257" s="27" t="s">
        <v>733</v>
      </c>
      <c r="B257" s="27">
        <v>25</v>
      </c>
      <c r="C257" s="26">
        <v>28</v>
      </c>
      <c r="D257" s="13">
        <v>28</v>
      </c>
      <c r="E257" s="523">
        <v>1</v>
      </c>
      <c r="F257" s="120">
        <f t="shared" si="55"/>
        <v>33.6</v>
      </c>
      <c r="G257" s="134">
        <f t="array" ref="G257">IF(E257=0,0,IF(E257=1,D257*$G$2,D257*$G$2*2))</f>
        <v>28</v>
      </c>
      <c r="H257" s="134">
        <f t="array" ref="H257">IF(E257&gt;2,D257*(E257-2)*$H$2,0)</f>
        <v>0</v>
      </c>
      <c r="I257" s="89">
        <f t="shared" si="54"/>
        <v>61.6</v>
      </c>
      <c r="J257" s="13" t="s">
        <v>30</v>
      </c>
      <c r="L257" s="13"/>
    </row>
    <row r="258" spans="1:14" x14ac:dyDescent="0.3">
      <c r="A258" s="27" t="s">
        <v>734</v>
      </c>
      <c r="B258" s="27">
        <v>22</v>
      </c>
      <c r="C258" s="26">
        <v>28</v>
      </c>
      <c r="D258" s="13">
        <v>28</v>
      </c>
      <c r="E258" s="523">
        <v>1</v>
      </c>
      <c r="F258" s="120">
        <f t="shared" si="55"/>
        <v>33.6</v>
      </c>
      <c r="G258" s="134">
        <f t="array" ref="G258">IF(E258=0,0,IF(E258=1,D258*$G$2,D258*$G$2*2))</f>
        <v>28</v>
      </c>
      <c r="H258" s="134">
        <f t="array" ref="H258">IF(E258&gt;2,D258*(E258-2)*$H$2,0)</f>
        <v>0</v>
      </c>
      <c r="I258" s="89">
        <f t="shared" si="54"/>
        <v>61.6</v>
      </c>
      <c r="J258" s="13" t="s">
        <v>30</v>
      </c>
      <c r="K258" s="2"/>
      <c r="L258" s="13"/>
    </row>
    <row r="259" spans="1:14" x14ac:dyDescent="0.3">
      <c r="A259" s="142" t="s">
        <v>735</v>
      </c>
      <c r="B259" s="142">
        <v>7</v>
      </c>
      <c r="C259" s="26">
        <v>20</v>
      </c>
      <c r="D259" s="13">
        <v>20</v>
      </c>
      <c r="E259" s="523">
        <v>1</v>
      </c>
      <c r="F259" s="120">
        <f t="shared" si="55"/>
        <v>24</v>
      </c>
      <c r="G259" s="134">
        <f t="array" ref="G259">IF(E259=0,0,IF(E259=1,D259*$G$2,D259*$G$2*2))</f>
        <v>20</v>
      </c>
      <c r="H259" s="134">
        <f t="array" ref="H259">IF(E259&gt;2,D259*(E259-2)*$H$2,0)</f>
        <v>0</v>
      </c>
      <c r="I259" s="123">
        <f t="shared" si="54"/>
        <v>44</v>
      </c>
      <c r="J259" s="13" t="s">
        <v>30</v>
      </c>
      <c r="L259" s="13"/>
    </row>
    <row r="260" spans="1:14" x14ac:dyDescent="0.3">
      <c r="A260" s="142" t="s">
        <v>736</v>
      </c>
      <c r="B260" s="1040">
        <v>1</v>
      </c>
      <c r="C260" s="26">
        <v>0</v>
      </c>
      <c r="D260" s="13">
        <v>20</v>
      </c>
      <c r="E260" s="523">
        <v>1</v>
      </c>
      <c r="F260" s="120">
        <f t="shared" si="55"/>
        <v>0</v>
      </c>
      <c r="G260" s="134">
        <f t="array" ref="G260">IF(E260=0,0,IF(E260=1,D260*$G$2,D260*$G$2*2))</f>
        <v>20</v>
      </c>
      <c r="H260" s="134">
        <f t="array" ref="H260">IF(E260&gt;2,D260*(E260-2)*$H$2,0)</f>
        <v>0</v>
      </c>
      <c r="I260" s="123">
        <f t="shared" si="54"/>
        <v>20</v>
      </c>
      <c r="J260" s="13" t="s">
        <v>30</v>
      </c>
      <c r="L260" s="13"/>
      <c r="M260" s="19"/>
      <c r="N260" s="19"/>
    </row>
    <row r="261" spans="1:14" x14ac:dyDescent="0.3">
      <c r="A261" s="142" t="s">
        <v>737</v>
      </c>
      <c r="B261" s="1040">
        <v>1</v>
      </c>
      <c r="C261" s="26">
        <v>20</v>
      </c>
      <c r="D261" s="13">
        <v>20</v>
      </c>
      <c r="E261" s="523">
        <v>1</v>
      </c>
      <c r="F261" s="120">
        <f t="shared" si="55"/>
        <v>24</v>
      </c>
      <c r="G261" s="134">
        <f t="array" ref="G261">IF(E261=0,0,IF(E261=1,D261*$G$2,D261*$G$2*2))</f>
        <v>20</v>
      </c>
      <c r="H261" s="134">
        <f t="array" ref="H261">IF(E261&gt;2,D261*(E261-2)*$H$2,0)</f>
        <v>0</v>
      </c>
      <c r="I261" s="123">
        <f>SUM(F261:H261)</f>
        <v>44</v>
      </c>
      <c r="J261" s="13" t="s">
        <v>30</v>
      </c>
      <c r="L261" s="13"/>
    </row>
    <row r="262" spans="1:14" x14ac:dyDescent="0.3">
      <c r="A262" s="142" t="s">
        <v>300</v>
      </c>
      <c r="B262" s="142">
        <v>0</v>
      </c>
      <c r="C262" s="26">
        <v>20</v>
      </c>
      <c r="D262" s="13">
        <v>20</v>
      </c>
      <c r="E262" s="523">
        <v>0</v>
      </c>
      <c r="F262" s="120">
        <f t="shared" si="55"/>
        <v>0</v>
      </c>
      <c r="G262" s="134">
        <f t="array" ref="G262">IF(E262=0,0,IF(E262=1,D262*$G$2,D262*$G$2*2))</f>
        <v>0</v>
      </c>
      <c r="H262" s="134">
        <f t="array" ref="H262">IF(E262&gt;2,D262*(E262-2)*$H$2,0)</f>
        <v>0</v>
      </c>
      <c r="I262" s="123">
        <f>SUM(F262:H262)</f>
        <v>0</v>
      </c>
      <c r="J262" s="13" t="s">
        <v>30</v>
      </c>
      <c r="L262" s="13"/>
      <c r="M262" s="27"/>
      <c r="N262" s="27"/>
    </row>
    <row r="263" spans="1:14" x14ac:dyDescent="0.3">
      <c r="A263" s="142" t="s">
        <v>738</v>
      </c>
      <c r="B263" s="1040">
        <v>2</v>
      </c>
      <c r="C263" s="26">
        <v>20</v>
      </c>
      <c r="D263" s="13">
        <v>20</v>
      </c>
      <c r="E263" s="523">
        <v>1</v>
      </c>
      <c r="F263" s="120">
        <f t="shared" si="55"/>
        <v>24</v>
      </c>
      <c r="G263" s="134">
        <f t="array" ref="G263">IF(E263=0,0,IF(E263=1,D263*$G$2,D263*$G$2*2))</f>
        <v>20</v>
      </c>
      <c r="H263" s="134">
        <f t="array" ref="H263">IF(E263&gt;2,D263*(E263-2)*$H$2,0)</f>
        <v>0</v>
      </c>
      <c r="I263" s="123">
        <f t="shared" ref="I263" si="56">SUM(F263:H263)</f>
        <v>44</v>
      </c>
      <c r="J263" s="13" t="s">
        <v>30</v>
      </c>
      <c r="L263" s="13"/>
    </row>
    <row r="264" spans="1:14" x14ac:dyDescent="0.3">
      <c r="A264" s="142" t="s">
        <v>739</v>
      </c>
      <c r="B264" s="142">
        <v>27</v>
      </c>
      <c r="C264" s="26">
        <v>20</v>
      </c>
      <c r="D264" s="13">
        <v>20</v>
      </c>
      <c r="E264" s="523">
        <v>1</v>
      </c>
      <c r="F264" s="120">
        <f t="shared" si="55"/>
        <v>24</v>
      </c>
      <c r="G264" s="134">
        <f t="array" ref="G264">IF(E264=0,0,IF(E264=1,D264*$G$2,D264*$G$2*2))</f>
        <v>20</v>
      </c>
      <c r="H264" s="134">
        <f t="array" ref="H264">IF(E264&gt;2,D264*(E264-2)*$H$2,0)</f>
        <v>0</v>
      </c>
      <c r="I264" s="123">
        <f>SUM(F264:H264)</f>
        <v>44</v>
      </c>
      <c r="J264" s="13" t="s">
        <v>30</v>
      </c>
      <c r="K264" s="1" t="s">
        <v>995</v>
      </c>
      <c r="L264" s="13"/>
    </row>
    <row r="265" spans="1:14" x14ac:dyDescent="0.3">
      <c r="A265" s="142" t="s">
        <v>740</v>
      </c>
      <c r="B265" s="142">
        <v>26</v>
      </c>
      <c r="C265" s="26">
        <v>20</v>
      </c>
      <c r="D265" s="13">
        <v>20</v>
      </c>
      <c r="E265" s="523">
        <v>1</v>
      </c>
      <c r="F265" s="120">
        <f t="shared" si="55"/>
        <v>24</v>
      </c>
      <c r="G265" s="134">
        <f t="array" ref="G265">IF(E265=0,0,IF(E265=1,D265*$G$2,D265*$G$2*2))</f>
        <v>20</v>
      </c>
      <c r="H265" s="134">
        <f t="array" ref="H265">IF(E265&gt;2,D265*(E265-2)*$H$2,0)</f>
        <v>0</v>
      </c>
      <c r="I265" s="123">
        <f t="shared" ref="I265:I273" si="57">SUM(F265:H265)</f>
        <v>44</v>
      </c>
      <c r="J265" s="13" t="s">
        <v>30</v>
      </c>
      <c r="K265" s="27"/>
      <c r="L265" s="13"/>
    </row>
    <row r="266" spans="1:14" x14ac:dyDescent="0.3">
      <c r="A266" s="142" t="s">
        <v>741</v>
      </c>
      <c r="B266" s="142">
        <v>0</v>
      </c>
      <c r="C266" s="26">
        <v>20</v>
      </c>
      <c r="D266" s="13">
        <v>20</v>
      </c>
      <c r="E266" s="523">
        <v>0</v>
      </c>
      <c r="F266" s="120">
        <f t="shared" si="55"/>
        <v>0</v>
      </c>
      <c r="G266" s="134">
        <f t="array" ref="G266">IF(E266=0,0,IF(E266=1,D266*$G$2,D266*$G$2*2))</f>
        <v>0</v>
      </c>
      <c r="H266" s="134">
        <f t="array" ref="H266">IF(E266&gt;2,D266*(E266-2)*$H$2,0)</f>
        <v>0</v>
      </c>
      <c r="I266" s="123">
        <f t="shared" si="57"/>
        <v>0</v>
      </c>
      <c r="J266" s="13" t="s">
        <v>30</v>
      </c>
      <c r="K266" s="27"/>
      <c r="L266" s="13"/>
    </row>
    <row r="267" spans="1:14" x14ac:dyDescent="0.3">
      <c r="A267" s="1039" t="s">
        <v>500</v>
      </c>
      <c r="B267" s="1039">
        <v>9</v>
      </c>
      <c r="C267" s="26">
        <v>0</v>
      </c>
      <c r="D267" s="13">
        <v>28</v>
      </c>
      <c r="E267" s="523">
        <v>1</v>
      </c>
      <c r="F267" s="120">
        <f t="shared" si="55"/>
        <v>0</v>
      </c>
      <c r="G267" s="134">
        <f t="array" ref="G267">IF(E267=0,0,IF(E267=1,D267*$G$2,D267*$G$2*2))</f>
        <v>28</v>
      </c>
      <c r="H267" s="134">
        <f t="array" ref="H267">IF(E267&gt;2,D267*(E267-2)*$H$2,0)</f>
        <v>0</v>
      </c>
      <c r="I267" s="123">
        <f t="shared" si="57"/>
        <v>28</v>
      </c>
      <c r="J267" s="13" t="s">
        <v>30</v>
      </c>
      <c r="K267" s="27"/>
      <c r="L267" s="13"/>
    </row>
    <row r="268" spans="1:14" x14ac:dyDescent="0.3">
      <c r="A268" s="1039" t="s">
        <v>742</v>
      </c>
      <c r="B268" s="1039">
        <v>8</v>
      </c>
      <c r="C268" s="26">
        <v>28</v>
      </c>
      <c r="D268" s="13">
        <v>28</v>
      </c>
      <c r="E268" s="523">
        <v>1</v>
      </c>
      <c r="F268" s="143">
        <f t="shared" si="55"/>
        <v>33.6</v>
      </c>
      <c r="G268" s="134">
        <f t="array" ref="G268">IF(E268=0,0,IF(E268=1,D268*$G$2,D268*$G$2*2))</f>
        <v>28</v>
      </c>
      <c r="H268" s="134">
        <f t="array" ref="H268">IF(E268&gt;2,D268*(E268-2)*$H$2,0)</f>
        <v>0</v>
      </c>
      <c r="I268" s="89">
        <f t="shared" si="57"/>
        <v>61.6</v>
      </c>
      <c r="J268" s="13" t="s">
        <v>30</v>
      </c>
      <c r="K268" s="27"/>
      <c r="L268" s="13"/>
    </row>
    <row r="269" spans="1:14" x14ac:dyDescent="0.3">
      <c r="A269" s="1039" t="s">
        <v>743</v>
      </c>
      <c r="B269" s="1039">
        <v>5</v>
      </c>
      <c r="C269" s="26">
        <v>8</v>
      </c>
      <c r="D269" s="13">
        <v>8</v>
      </c>
      <c r="E269" s="523">
        <v>1</v>
      </c>
      <c r="F269" s="143">
        <f t="shared" si="55"/>
        <v>9.6</v>
      </c>
      <c r="G269" s="134">
        <f t="array" ref="G269">IF(E269=0,0,IF(E269=1,D269*$G$2,D269*$G$2*2))</f>
        <v>8</v>
      </c>
      <c r="H269" s="134">
        <f t="array" ref="H269">IF(E269&gt;2,D269*(E269-2)*$H$2,0)</f>
        <v>0</v>
      </c>
      <c r="I269" s="89">
        <f t="shared" si="57"/>
        <v>17.600000000000001</v>
      </c>
      <c r="J269" s="13" t="s">
        <v>30</v>
      </c>
      <c r="K269" s="27"/>
      <c r="L269" s="13"/>
      <c r="M269" s="27"/>
      <c r="N269" s="27"/>
    </row>
    <row r="270" spans="1:14" x14ac:dyDescent="0.3">
      <c r="A270" s="1039" t="s">
        <v>744</v>
      </c>
      <c r="B270" s="1041">
        <v>1</v>
      </c>
      <c r="C270" s="26">
        <v>0</v>
      </c>
      <c r="D270" s="13">
        <v>8</v>
      </c>
      <c r="E270" s="523">
        <v>1</v>
      </c>
      <c r="F270" s="143">
        <f t="shared" si="55"/>
        <v>0</v>
      </c>
      <c r="G270" s="134">
        <f t="array" ref="G270">IF(E270=0,0,IF(E270=1,D270*$G$2,D270*$G$2*2))</f>
        <v>8</v>
      </c>
      <c r="H270" s="134">
        <f t="array" ref="H270">IF(E270&gt;2,D270*(E270-2)*$H$2,0)</f>
        <v>0</v>
      </c>
      <c r="I270" s="89">
        <f t="shared" si="57"/>
        <v>8</v>
      </c>
      <c r="J270" s="13" t="s">
        <v>30</v>
      </c>
      <c r="K270" s="27"/>
      <c r="L270" s="13"/>
      <c r="M270" s="27"/>
      <c r="N270" s="27"/>
    </row>
    <row r="271" spans="1:14" x14ac:dyDescent="0.3">
      <c r="A271" s="1039" t="s">
        <v>745</v>
      </c>
      <c r="B271" s="1039">
        <v>0</v>
      </c>
      <c r="C271" s="26">
        <v>0</v>
      </c>
      <c r="D271" s="13">
        <v>0</v>
      </c>
      <c r="E271" s="523">
        <v>0</v>
      </c>
      <c r="F271" s="120">
        <f t="shared" si="55"/>
        <v>0</v>
      </c>
      <c r="G271" s="120">
        <f t="array" ref="G271">IF(E271=0,0,IF(E271=1,D271*$G$2,D271*$G$2*2))</f>
        <v>0</v>
      </c>
      <c r="H271" s="120">
        <f t="array" ref="H271">IF(E271&gt;2,D271*(E271-2)*$H$2,0)</f>
        <v>0</v>
      </c>
      <c r="I271" s="89">
        <f t="shared" si="57"/>
        <v>0</v>
      </c>
      <c r="J271" s="13" t="s">
        <v>30</v>
      </c>
      <c r="K271" s="27"/>
      <c r="L271" s="22"/>
    </row>
    <row r="272" spans="1:14" x14ac:dyDescent="0.3">
      <c r="A272" s="142" t="s">
        <v>746</v>
      </c>
      <c r="B272" s="142">
        <v>8</v>
      </c>
      <c r="C272" s="26">
        <v>14</v>
      </c>
      <c r="D272" s="13">
        <v>14</v>
      </c>
      <c r="E272" s="523">
        <v>1</v>
      </c>
      <c r="F272" s="120">
        <f t="shared" si="55"/>
        <v>16.8</v>
      </c>
      <c r="G272" s="134">
        <f t="array" ref="G272">IF(E272=0,0,IF(E272=1,D272*$G$2,D272*$G$2*2))</f>
        <v>14</v>
      </c>
      <c r="H272" s="134">
        <f t="array" ref="H272">IF(E272&gt;2,D272*(E272-2)*$H$2,0)</f>
        <v>0</v>
      </c>
      <c r="I272" s="89">
        <f t="shared" si="57"/>
        <v>30.8</v>
      </c>
      <c r="J272" s="13" t="s">
        <v>30</v>
      </c>
      <c r="K272" s="27"/>
      <c r="L272" s="13"/>
    </row>
    <row r="273" spans="1:14" ht="16.2" thickBot="1" x14ac:dyDescent="0.35">
      <c r="A273" s="142" t="s">
        <v>747</v>
      </c>
      <c r="B273" s="142">
        <v>8</v>
      </c>
      <c r="C273" s="26">
        <v>14</v>
      </c>
      <c r="D273" s="13">
        <v>14</v>
      </c>
      <c r="E273" s="523">
        <v>1</v>
      </c>
      <c r="F273" s="120">
        <f t="shared" si="55"/>
        <v>16.8</v>
      </c>
      <c r="G273" s="134">
        <f t="array" ref="G273">IF(E273=0,0,IF(E273=1,D273*$G$2,D273*$G$2*2))</f>
        <v>14</v>
      </c>
      <c r="H273" s="134">
        <f t="array" ref="H273">IF(E273&gt;2,D273*(E273-2)*$H$2,0)</f>
        <v>0</v>
      </c>
      <c r="I273" s="89">
        <f t="shared" si="57"/>
        <v>30.8</v>
      </c>
      <c r="J273" s="13" t="s">
        <v>30</v>
      </c>
      <c r="K273" s="27"/>
      <c r="L273" s="13"/>
    </row>
    <row r="274" spans="1:14" ht="16.2" thickBot="1" x14ac:dyDescent="0.35">
      <c r="A274" s="27"/>
      <c r="B274" s="27"/>
      <c r="C274" s="90"/>
      <c r="D274" s="138"/>
      <c r="E274" s="27"/>
      <c r="F274" s="120"/>
      <c r="G274" s="120"/>
      <c r="H274" s="120"/>
      <c r="I274" s="135">
        <f>SUM(I251:I273)</f>
        <v>817.2</v>
      </c>
      <c r="J274" s="148"/>
      <c r="K274" s="27"/>
      <c r="L274" s="13"/>
    </row>
    <row r="275" spans="1:14" ht="16.2" thickBot="1" x14ac:dyDescent="0.35">
      <c r="A275" s="19" t="s">
        <v>21</v>
      </c>
      <c r="B275" s="19"/>
      <c r="C275" s="84"/>
      <c r="D275" s="13"/>
      <c r="E275" s="26"/>
      <c r="F275" s="26"/>
      <c r="G275" s="26"/>
      <c r="H275" s="140" t="s">
        <v>135</v>
      </c>
      <c r="I275" s="135">
        <f>SUM(I274,I250,I230)</f>
        <v>3161.6</v>
      </c>
      <c r="J275" s="69"/>
      <c r="K275" s="27"/>
      <c r="L275" s="13"/>
    </row>
    <row r="276" spans="1:14" x14ac:dyDescent="0.3">
      <c r="A276" s="27" t="s">
        <v>748</v>
      </c>
      <c r="B276" s="27">
        <v>18</v>
      </c>
      <c r="C276" s="26">
        <v>14</v>
      </c>
      <c r="D276" s="13">
        <v>28</v>
      </c>
      <c r="E276" s="523">
        <v>1</v>
      </c>
      <c r="F276" s="120">
        <f t="shared" ref="F276:F292" si="58">IF(B276=0,0*C276*$F$2,C276*$F$2)</f>
        <v>16.8</v>
      </c>
      <c r="G276" s="141">
        <f t="array" ref="G276">IF(E276=0,0,IF(E276=1,D276*$G$3,D276*$G$3*2))</f>
        <v>28</v>
      </c>
      <c r="H276" s="141">
        <f t="array" ref="H276">IF(E276&gt;2,D276*(E276-2)*$H$3,0)</f>
        <v>0</v>
      </c>
      <c r="I276" s="123">
        <f t="shared" ref="I276:I279" si="59">SUM(F276:H276)</f>
        <v>44.8</v>
      </c>
      <c r="J276" s="20" t="s">
        <v>124</v>
      </c>
      <c r="K276" s="27"/>
      <c r="L276" s="13"/>
    </row>
    <row r="277" spans="1:14" x14ac:dyDescent="0.3">
      <c r="A277" s="27" t="s">
        <v>749</v>
      </c>
      <c r="B277" s="27">
        <v>11</v>
      </c>
      <c r="C277" s="26">
        <v>28</v>
      </c>
      <c r="D277" s="13">
        <v>28</v>
      </c>
      <c r="E277" s="523">
        <v>1</v>
      </c>
      <c r="F277" s="120">
        <f t="shared" si="58"/>
        <v>33.6</v>
      </c>
      <c r="G277" s="141">
        <f t="array" ref="G277">IF(E277=0,0,IF(E277=1,D277*$G$3,D277*$G$3*2))</f>
        <v>28</v>
      </c>
      <c r="H277" s="141">
        <f t="array" ref="H277">IF(E277&gt;2,D277*(E277-2)*$H$3,0)</f>
        <v>0</v>
      </c>
      <c r="I277" s="123">
        <f t="shared" si="59"/>
        <v>61.6</v>
      </c>
      <c r="J277" s="20" t="s">
        <v>124</v>
      </c>
      <c r="K277" s="27"/>
      <c r="L277" s="13"/>
    </row>
    <row r="278" spans="1:14" x14ac:dyDescent="0.3">
      <c r="A278" s="27" t="s">
        <v>750</v>
      </c>
      <c r="B278" s="27">
        <v>5</v>
      </c>
      <c r="C278" s="26">
        <v>28</v>
      </c>
      <c r="D278" s="13">
        <v>0</v>
      </c>
      <c r="E278" s="523">
        <v>2</v>
      </c>
      <c r="F278" s="120">
        <f t="shared" si="58"/>
        <v>33.6</v>
      </c>
      <c r="G278" s="141">
        <f t="array" ref="G278">IF(E278=0,0,IF(E278=1,D278*$G$3,D278*$G$3*2))</f>
        <v>0</v>
      </c>
      <c r="H278" s="141">
        <f t="array" ref="H278">IF(E278&gt;2,D278*(E278-2)*$H$3,0)</f>
        <v>0</v>
      </c>
      <c r="I278" s="123">
        <f t="shared" si="59"/>
        <v>33.6</v>
      </c>
      <c r="J278" s="20" t="s">
        <v>124</v>
      </c>
      <c r="K278" s="1" t="s">
        <v>455</v>
      </c>
      <c r="L278" s="13"/>
    </row>
    <row r="279" spans="1:14" x14ac:dyDescent="0.3">
      <c r="A279" s="27" t="s">
        <v>751</v>
      </c>
      <c r="B279" s="27">
        <v>0</v>
      </c>
      <c r="C279" s="26">
        <v>28</v>
      </c>
      <c r="D279" s="13">
        <v>28</v>
      </c>
      <c r="E279" s="523">
        <v>0</v>
      </c>
      <c r="F279" s="120">
        <f t="shared" si="58"/>
        <v>0</v>
      </c>
      <c r="G279" s="141">
        <f t="array" ref="G279">IF(E279=0,0,IF(E279=1,D279*$G$3,D279*$G$3*2))</f>
        <v>0</v>
      </c>
      <c r="H279" s="141">
        <f t="array" ref="H279">IF(E279&gt;2,D279*(E279-2)*$H$3,0)</f>
        <v>0</v>
      </c>
      <c r="I279" s="123">
        <f t="shared" si="59"/>
        <v>0</v>
      </c>
      <c r="J279" s="20" t="s">
        <v>124</v>
      </c>
      <c r="L279" s="13"/>
    </row>
    <row r="280" spans="1:14" x14ac:dyDescent="0.3">
      <c r="A280" s="27" t="s">
        <v>752</v>
      </c>
      <c r="B280" s="27">
        <v>27</v>
      </c>
      <c r="C280" s="26">
        <v>28</v>
      </c>
      <c r="D280" s="13">
        <v>28</v>
      </c>
      <c r="E280" s="523">
        <v>2</v>
      </c>
      <c r="F280" s="120">
        <f t="shared" si="58"/>
        <v>33.6</v>
      </c>
      <c r="G280" s="141">
        <f t="array" ref="G280">IF(E280=0,0,IF(E280=1,D280*$G$3,D280*$G$3*2))</f>
        <v>56</v>
      </c>
      <c r="H280" s="141">
        <f t="array" ref="H280">IF(E280&gt;2,D280*(E280-2)*$H$3,0)</f>
        <v>0</v>
      </c>
      <c r="I280" s="123">
        <f>SUM(F280:H280)</f>
        <v>89.6</v>
      </c>
      <c r="J280" s="20" t="s">
        <v>124</v>
      </c>
      <c r="L280" s="13"/>
    </row>
    <row r="281" spans="1:14" x14ac:dyDescent="0.3">
      <c r="A281" s="27" t="s">
        <v>753</v>
      </c>
      <c r="B281" s="27">
        <v>18</v>
      </c>
      <c r="C281" s="26">
        <v>28</v>
      </c>
      <c r="D281" s="13">
        <v>28</v>
      </c>
      <c r="E281" s="523">
        <v>1</v>
      </c>
      <c r="F281" s="120">
        <f t="shared" si="58"/>
        <v>33.6</v>
      </c>
      <c r="G281" s="141">
        <f t="array" ref="G281">IF(E281=0,0,IF(E281=1,D281*$G$3,D281*$G$3*2))</f>
        <v>28</v>
      </c>
      <c r="H281" s="141">
        <f t="array" ref="H281">IF(E281&gt;2,D281*(E281-2)*$H$3,0)</f>
        <v>0</v>
      </c>
      <c r="I281" s="123">
        <f>SUM(F281:H281)</f>
        <v>61.6</v>
      </c>
      <c r="J281" s="20" t="s">
        <v>124</v>
      </c>
      <c r="L281" s="13"/>
      <c r="M281" s="27"/>
      <c r="N281" s="27"/>
    </row>
    <row r="282" spans="1:14" x14ac:dyDescent="0.3">
      <c r="A282" s="27" t="s">
        <v>754</v>
      </c>
      <c r="B282" s="27">
        <v>11</v>
      </c>
      <c r="C282" s="26">
        <v>28</v>
      </c>
      <c r="D282" s="13">
        <v>28</v>
      </c>
      <c r="E282" s="523">
        <v>1</v>
      </c>
      <c r="F282" s="120">
        <f t="shared" si="58"/>
        <v>33.6</v>
      </c>
      <c r="G282" s="141">
        <f t="array" ref="G282">IF(E282=0,0,IF(E282=1,D282*$G$3,D282*$G$3*2))</f>
        <v>28</v>
      </c>
      <c r="H282" s="141">
        <f t="array" ref="H282">IF(E282&gt;2,D282*(E282-2)*$H$3,0)</f>
        <v>0</v>
      </c>
      <c r="I282" s="123">
        <f t="shared" ref="I282:I283" si="60">SUM(F282:H282)</f>
        <v>61.6</v>
      </c>
      <c r="J282" s="20" t="s">
        <v>124</v>
      </c>
      <c r="L282" s="13"/>
    </row>
    <row r="283" spans="1:14" x14ac:dyDescent="0.3">
      <c r="A283" s="27" t="s">
        <v>755</v>
      </c>
      <c r="B283" s="27">
        <v>5</v>
      </c>
      <c r="C283" s="26">
        <v>28</v>
      </c>
      <c r="D283" s="13">
        <v>28</v>
      </c>
      <c r="E283" s="523">
        <v>1</v>
      </c>
      <c r="F283" s="120">
        <f t="shared" si="58"/>
        <v>33.6</v>
      </c>
      <c r="G283" s="141">
        <f t="array" ref="G283">IF(E283=0,0,IF(E283=1,D283*$G$3,D283*$G$3*2))</f>
        <v>28</v>
      </c>
      <c r="H283" s="141">
        <f t="array" ref="H283">IF(E283&gt;2,D283*(E283-2)*$H$3,0)</f>
        <v>0</v>
      </c>
      <c r="I283" s="123">
        <f t="shared" si="60"/>
        <v>61.6</v>
      </c>
      <c r="J283" s="20" t="s">
        <v>124</v>
      </c>
      <c r="L283" s="13"/>
    </row>
    <row r="284" spans="1:14" x14ac:dyDescent="0.3">
      <c r="A284" s="27" t="s">
        <v>756</v>
      </c>
      <c r="B284" s="1036">
        <v>2</v>
      </c>
      <c r="C284" s="26">
        <v>14</v>
      </c>
      <c r="D284" s="13">
        <v>14</v>
      </c>
      <c r="E284" s="523">
        <v>1</v>
      </c>
      <c r="F284" s="120">
        <f t="shared" si="58"/>
        <v>16.8</v>
      </c>
      <c r="G284" s="141">
        <f t="array" ref="G284">IF(E284=0,0,IF(E284=1,D284*$G$3,D284*$G$3*2))</f>
        <v>14</v>
      </c>
      <c r="H284" s="141">
        <f t="array" ref="H284">IF(E284&gt;2,D284*(E284-2)*$H$3,0)</f>
        <v>0</v>
      </c>
      <c r="I284" s="123">
        <f>SUM(F284:H284)</f>
        <v>30.8</v>
      </c>
      <c r="J284" s="20" t="s">
        <v>124</v>
      </c>
      <c r="L284" s="13"/>
    </row>
    <row r="285" spans="1:14" x14ac:dyDescent="0.3">
      <c r="A285" s="27" t="s">
        <v>757</v>
      </c>
      <c r="B285" s="27">
        <v>11</v>
      </c>
      <c r="C285" s="26">
        <v>14</v>
      </c>
      <c r="D285" s="13">
        <v>14</v>
      </c>
      <c r="E285" s="523">
        <v>1</v>
      </c>
      <c r="F285" s="120">
        <f t="shared" si="58"/>
        <v>16.8</v>
      </c>
      <c r="G285" s="141">
        <f t="array" ref="G285">IF(E285=0,0,IF(E285=1,D285*$G$3,D285*$G$3*2))</f>
        <v>14</v>
      </c>
      <c r="H285" s="141">
        <f t="array" ref="H285">IF(E285&gt;2,D285*(E285-2)*$H$3,0)</f>
        <v>0</v>
      </c>
      <c r="I285" s="123">
        <f>SUM(F285:H285)</f>
        <v>30.8</v>
      </c>
      <c r="J285" s="20" t="s">
        <v>124</v>
      </c>
      <c r="L285" s="13"/>
      <c r="M285" s="27"/>
      <c r="N285" s="27"/>
    </row>
    <row r="286" spans="1:14" x14ac:dyDescent="0.3">
      <c r="A286" s="27" t="s">
        <v>758</v>
      </c>
      <c r="B286" s="27">
        <v>20</v>
      </c>
      <c r="C286" s="26">
        <v>28</v>
      </c>
      <c r="D286" s="13">
        <v>28</v>
      </c>
      <c r="E286" s="523">
        <v>1</v>
      </c>
      <c r="F286" s="120">
        <f t="shared" si="58"/>
        <v>33.6</v>
      </c>
      <c r="G286" s="141">
        <f t="array" ref="G286">IF(E286=0,0,IF(E286=1,D286*$G$3,D286*$G$3*2))</f>
        <v>28</v>
      </c>
      <c r="H286" s="141">
        <f t="array" ref="H286">IF(E286&gt;2,D286*(E286-2)*$H$3,0)</f>
        <v>0</v>
      </c>
      <c r="I286" s="89">
        <f t="shared" ref="I286:I288" si="61">SUM(F286:H286)</f>
        <v>61.6</v>
      </c>
      <c r="J286" s="20" t="s">
        <v>124</v>
      </c>
      <c r="L286" s="13"/>
    </row>
    <row r="287" spans="1:14" x14ac:dyDescent="0.3">
      <c r="A287" s="27" t="s">
        <v>759</v>
      </c>
      <c r="B287" s="27">
        <v>26</v>
      </c>
      <c r="C287" s="26">
        <v>14</v>
      </c>
      <c r="D287" s="13">
        <v>28</v>
      </c>
      <c r="E287" s="523">
        <v>2</v>
      </c>
      <c r="F287" s="120">
        <f t="shared" si="58"/>
        <v>16.8</v>
      </c>
      <c r="G287" s="141">
        <f t="array" ref="G287">IF(E287=0,0,IF(E287=1,D287*$G$3,D287*$G$3*2))</f>
        <v>56</v>
      </c>
      <c r="H287" s="141">
        <f t="array" ref="H287">IF(E287&gt;2,D287*(E287-2)*$H$3,0)</f>
        <v>0</v>
      </c>
      <c r="I287" s="123">
        <f t="shared" si="61"/>
        <v>72.8</v>
      </c>
      <c r="J287" s="20" t="s">
        <v>124</v>
      </c>
      <c r="L287" s="13"/>
    </row>
    <row r="288" spans="1:14" x14ac:dyDescent="0.3">
      <c r="A288" s="27" t="s">
        <v>760</v>
      </c>
      <c r="B288" s="27">
        <v>0</v>
      </c>
      <c r="C288" s="26">
        <v>28</v>
      </c>
      <c r="D288" s="13">
        <v>28</v>
      </c>
      <c r="E288" s="523">
        <v>0</v>
      </c>
      <c r="F288" s="120">
        <f t="shared" si="58"/>
        <v>0</v>
      </c>
      <c r="G288" s="141">
        <f t="array" ref="G288">IF(E288=0,0,IF(E288=1,D288*$G$3,D288*$G$3*2))</f>
        <v>0</v>
      </c>
      <c r="H288" s="141">
        <f t="array" ref="H288">IF(E288&gt;2,D288*(E288-2)*$H$3,0)</f>
        <v>0</v>
      </c>
      <c r="I288" s="123">
        <f t="shared" si="61"/>
        <v>0</v>
      </c>
      <c r="J288" s="20" t="s">
        <v>124</v>
      </c>
      <c r="L288" s="13"/>
    </row>
    <row r="289" spans="1:14" x14ac:dyDescent="0.3">
      <c r="A289" s="27" t="s">
        <v>761</v>
      </c>
      <c r="B289" s="1036">
        <v>2</v>
      </c>
      <c r="C289" s="26">
        <v>0</v>
      </c>
      <c r="D289" s="13">
        <v>28</v>
      </c>
      <c r="E289" s="523">
        <v>1</v>
      </c>
      <c r="F289" s="120">
        <f t="shared" si="58"/>
        <v>0</v>
      </c>
      <c r="G289" s="141">
        <f t="array" ref="G289">IF(E289=0,0,IF(E289=1,D289*$G$3,D289*$G$3*2))</f>
        <v>28</v>
      </c>
      <c r="H289" s="141">
        <f t="array" ref="H289">IF(E289&gt;2,D289*(E289-2)*$H$3,0)</f>
        <v>0</v>
      </c>
      <c r="I289" s="123">
        <f>SUM(F289:H289)</f>
        <v>28</v>
      </c>
      <c r="J289" s="20" t="s">
        <v>124</v>
      </c>
      <c r="K289" s="1" t="s">
        <v>762</v>
      </c>
      <c r="L289" s="13"/>
    </row>
    <row r="290" spans="1:14" x14ac:dyDescent="0.3">
      <c r="A290" s="27" t="s">
        <v>763</v>
      </c>
      <c r="B290" s="27">
        <v>0</v>
      </c>
      <c r="C290" s="26">
        <v>28</v>
      </c>
      <c r="D290" s="13">
        <v>14</v>
      </c>
      <c r="E290" s="523">
        <v>0</v>
      </c>
      <c r="F290" s="120">
        <f t="shared" si="58"/>
        <v>0</v>
      </c>
      <c r="G290" s="141">
        <f t="array" ref="G290">IF(E290=0,0,IF(E290=1,D290*$G$3,D290*$G$3*2))</f>
        <v>0</v>
      </c>
      <c r="H290" s="141">
        <f t="array" ref="H290">IF(E290&gt;2,D290*(E290-2)*$H$3,0)</f>
        <v>0</v>
      </c>
      <c r="I290" s="123">
        <f t="shared" ref="I290" si="62">SUM(F290:H290)</f>
        <v>0</v>
      </c>
      <c r="J290" s="20" t="s">
        <v>124</v>
      </c>
      <c r="L290" s="13"/>
    </row>
    <row r="291" spans="1:14" x14ac:dyDescent="0.3">
      <c r="A291" s="1039" t="s">
        <v>764</v>
      </c>
      <c r="B291" s="1039">
        <v>0</v>
      </c>
      <c r="C291" s="26">
        <v>28</v>
      </c>
      <c r="D291" s="13">
        <v>28</v>
      </c>
      <c r="E291" s="523">
        <v>0</v>
      </c>
      <c r="F291" s="120">
        <f t="shared" si="58"/>
        <v>0</v>
      </c>
      <c r="G291" s="141">
        <f t="array" ref="G291">IF(E291=0,0,IF(E291=1,D291*$G$3,D291*$G$3*2))</f>
        <v>0</v>
      </c>
      <c r="H291" s="141">
        <f t="array" ref="H291">IF(E291&gt;2,D291*(E291-2)*$H$3,0)</f>
        <v>0</v>
      </c>
      <c r="I291" s="123">
        <f>SUM(F291:H291)</f>
        <v>0</v>
      </c>
      <c r="J291" s="20" t="s">
        <v>124</v>
      </c>
      <c r="L291" s="13"/>
    </row>
    <row r="292" spans="1:14" x14ac:dyDescent="0.3">
      <c r="A292" s="1038" t="s">
        <v>765</v>
      </c>
      <c r="B292" s="1039">
        <v>0</v>
      </c>
      <c r="C292" s="26">
        <v>14</v>
      </c>
      <c r="D292" s="13">
        <v>28</v>
      </c>
      <c r="E292" s="523">
        <v>0</v>
      </c>
      <c r="F292" s="120">
        <f t="shared" si="58"/>
        <v>0</v>
      </c>
      <c r="G292" s="141">
        <f t="array" ref="G292">IF(E292=0,0,IF(E292=1,D292*$G$3,D292*$G$3*2))</f>
        <v>0</v>
      </c>
      <c r="H292" s="141">
        <f t="array" ref="H292">IF(E292&gt;2,D292*(E292-2)*$H$3,0)</f>
        <v>0</v>
      </c>
      <c r="I292" s="89">
        <f>SUM(F292:H292)</f>
        <v>0</v>
      </c>
      <c r="J292" s="20" t="s">
        <v>124</v>
      </c>
      <c r="K292" s="1" t="s">
        <v>997</v>
      </c>
      <c r="L292" s="13"/>
    </row>
    <row r="293" spans="1:14" x14ac:dyDescent="0.3">
      <c r="A293" s="1038" t="s">
        <v>766</v>
      </c>
      <c r="B293" s="1039">
        <v>6</v>
      </c>
      <c r="C293" s="26">
        <v>28</v>
      </c>
      <c r="D293" s="13">
        <v>0</v>
      </c>
      <c r="E293" s="523">
        <v>1</v>
      </c>
      <c r="F293" s="120">
        <f>IF(B293=0,0*C293*$F$2,C293*$F$2)</f>
        <v>33.6</v>
      </c>
      <c r="G293" s="141">
        <f t="array" ref="G293">IF(E293=0,0,IF(E293=1,D293*$G$3,D293*$G$3*2))</f>
        <v>0</v>
      </c>
      <c r="H293" s="141">
        <f t="array" ref="H293">IF(E293&gt;2,D293*(E293-2)*$H$3,0)</f>
        <v>0</v>
      </c>
      <c r="I293" s="123">
        <f>SUM(F293:H293)</f>
        <v>33.6</v>
      </c>
      <c r="J293" s="20" t="s">
        <v>124</v>
      </c>
      <c r="K293" s="1" t="s">
        <v>455</v>
      </c>
      <c r="L293" s="13"/>
    </row>
    <row r="294" spans="1:14" x14ac:dyDescent="0.3">
      <c r="A294" s="1038" t="s">
        <v>767</v>
      </c>
      <c r="B294" s="1039">
        <v>6</v>
      </c>
      <c r="C294" s="26">
        <v>14</v>
      </c>
      <c r="D294" s="13">
        <v>14</v>
      </c>
      <c r="E294" s="523">
        <v>1</v>
      </c>
      <c r="F294" s="120">
        <f t="shared" ref="F294:F308" si="63">IF(B294=0,0*C294*$F$2,C294*$F$2)</f>
        <v>16.8</v>
      </c>
      <c r="G294" s="141">
        <f t="array" ref="G294">IF(E294=0,0,IF(E294=1,D294*$G$3,D294*$G$3*2))</f>
        <v>14</v>
      </c>
      <c r="H294" s="141">
        <f t="array" ref="H294">IF(E294&gt;2,D294*(E294-2)*$H$3,0)</f>
        <v>0</v>
      </c>
      <c r="I294" s="123">
        <f>SUM(F294:H294)</f>
        <v>30.8</v>
      </c>
      <c r="J294" s="20" t="s">
        <v>124</v>
      </c>
      <c r="K294" s="27"/>
      <c r="L294" s="13"/>
    </row>
    <row r="295" spans="1:14" x14ac:dyDescent="0.3">
      <c r="A295" s="142" t="s">
        <v>768</v>
      </c>
      <c r="B295" s="142">
        <v>33</v>
      </c>
      <c r="C295" s="26">
        <v>28</v>
      </c>
      <c r="D295" s="13">
        <v>28</v>
      </c>
      <c r="E295" s="523">
        <v>2</v>
      </c>
      <c r="F295" s="120">
        <f t="shared" si="63"/>
        <v>33.6</v>
      </c>
      <c r="G295" s="141">
        <f t="array" ref="G295">IF(E295=0,0,IF(E295=1,D295*$G$3,D295*$G$3*2))</f>
        <v>56</v>
      </c>
      <c r="H295" s="141">
        <f t="array" ref="H295">IF(E295&gt;2,D295*(E295-2)*$H$3,0)</f>
        <v>0</v>
      </c>
      <c r="I295" s="123">
        <f t="shared" ref="I295:I308" si="64">SUM(F295:H295)</f>
        <v>89.6</v>
      </c>
      <c r="J295" s="20" t="s">
        <v>124</v>
      </c>
      <c r="K295" s="27"/>
      <c r="L295" s="13"/>
      <c r="M295" s="27"/>
      <c r="N295" s="27"/>
    </row>
    <row r="296" spans="1:14" x14ac:dyDescent="0.3">
      <c r="A296" s="142" t="s">
        <v>769</v>
      </c>
      <c r="B296" s="142">
        <v>5</v>
      </c>
      <c r="C296" s="26">
        <v>20</v>
      </c>
      <c r="D296" s="13">
        <v>20</v>
      </c>
      <c r="E296" s="523">
        <v>1</v>
      </c>
      <c r="F296" s="120">
        <f t="shared" si="63"/>
        <v>24</v>
      </c>
      <c r="G296" s="141">
        <f t="array" ref="G296">IF(E296=0,0,IF(E296=1,D296*$G$3,D296*$G$3*2))</f>
        <v>20</v>
      </c>
      <c r="H296" s="141">
        <f t="array" ref="H296">IF(E296&gt;2,D296*(E296-2)*$H$3,0)</f>
        <v>0</v>
      </c>
      <c r="I296" s="123">
        <f t="shared" si="64"/>
        <v>44</v>
      </c>
      <c r="J296" s="20" t="s">
        <v>124</v>
      </c>
      <c r="K296" s="27"/>
      <c r="L296" s="13"/>
    </row>
    <row r="297" spans="1:14" x14ac:dyDescent="0.3">
      <c r="A297" s="1042" t="s">
        <v>996</v>
      </c>
      <c r="B297" s="19"/>
      <c r="C297" s="26">
        <v>0</v>
      </c>
      <c r="D297" s="13">
        <v>0</v>
      </c>
      <c r="E297" s="523">
        <v>0</v>
      </c>
      <c r="F297" s="120">
        <f t="shared" si="63"/>
        <v>0</v>
      </c>
      <c r="G297" s="141">
        <f t="array" ref="G297">IF(E297=0,0,IF(E297=1,D297*$G$3,D297*$G$3*2))</f>
        <v>0</v>
      </c>
      <c r="H297" s="141">
        <f t="array" ref="H297">IF(E297&gt;2,D297*(E297-2)*$H$3,0)</f>
        <v>0</v>
      </c>
      <c r="I297" s="123">
        <f t="shared" si="64"/>
        <v>0</v>
      </c>
      <c r="J297" s="20" t="s">
        <v>124</v>
      </c>
      <c r="K297" s="27"/>
      <c r="L297" s="13"/>
      <c r="M297" s="27"/>
      <c r="N297" s="27"/>
    </row>
    <row r="298" spans="1:14" x14ac:dyDescent="0.3">
      <c r="A298" s="142" t="s">
        <v>770</v>
      </c>
      <c r="B298" s="27">
        <v>0</v>
      </c>
      <c r="C298" s="26">
        <v>28</v>
      </c>
      <c r="D298" s="13">
        <v>28</v>
      </c>
      <c r="E298" s="523">
        <v>0</v>
      </c>
      <c r="F298" s="120">
        <f t="shared" si="63"/>
        <v>0</v>
      </c>
      <c r="G298" s="141">
        <f t="array" ref="G298">IF(E298=0,0,IF(E298=1,D298*$G$3,D298*$G$3*2))</f>
        <v>0</v>
      </c>
      <c r="H298" s="141">
        <f t="array" ref="H298">IF(E298&gt;2,D298*(E298-2)*$H$3,0)</f>
        <v>0</v>
      </c>
      <c r="I298" s="89">
        <f t="shared" si="64"/>
        <v>0</v>
      </c>
      <c r="J298" s="20" t="s">
        <v>124</v>
      </c>
      <c r="K298" s="27"/>
      <c r="L298" s="13"/>
    </row>
    <row r="299" spans="1:14" x14ac:dyDescent="0.3">
      <c r="A299" s="1039" t="s">
        <v>771</v>
      </c>
      <c r="B299" s="1039">
        <v>19</v>
      </c>
      <c r="C299" s="26">
        <v>14</v>
      </c>
      <c r="D299" s="13">
        <v>14</v>
      </c>
      <c r="E299" s="523">
        <v>1</v>
      </c>
      <c r="F299" s="120">
        <f t="shared" si="63"/>
        <v>16.8</v>
      </c>
      <c r="G299" s="141">
        <f t="array" ref="G299">IF(E299=0,0,IF(E299=1,D299*$G$3,D299*$G$3*2))</f>
        <v>14</v>
      </c>
      <c r="H299" s="141">
        <f t="array" ref="H299">IF(E299&gt;2,D299*(E299-2)*$H$3,0)</f>
        <v>0</v>
      </c>
      <c r="I299" s="89">
        <f t="shared" si="64"/>
        <v>30.8</v>
      </c>
      <c r="J299" s="912" t="s">
        <v>124</v>
      </c>
      <c r="K299" s="27"/>
      <c r="L299" s="13"/>
    </row>
    <row r="300" spans="1:14" x14ac:dyDescent="0.3">
      <c r="A300" s="1039" t="s">
        <v>501</v>
      </c>
      <c r="B300" s="1041">
        <v>2</v>
      </c>
      <c r="C300" s="26">
        <v>4</v>
      </c>
      <c r="D300" s="13">
        <v>4</v>
      </c>
      <c r="E300" s="523">
        <v>1</v>
      </c>
      <c r="F300" s="120">
        <f t="shared" si="63"/>
        <v>4.8</v>
      </c>
      <c r="G300" s="141">
        <f t="array" ref="G300">IF(E300=0,0,IF(E300=1,D300*$G$3,D300*$G$3*2))</f>
        <v>4</v>
      </c>
      <c r="H300" s="141">
        <f t="array" ref="H300">IF(E300&gt;2,D300*(E300-2)*$H$3,0)</f>
        <v>0</v>
      </c>
      <c r="I300" s="89">
        <f t="shared" si="64"/>
        <v>8.8000000000000007</v>
      </c>
      <c r="J300" s="20" t="s">
        <v>124</v>
      </c>
      <c r="K300" s="27"/>
      <c r="L300" s="13"/>
      <c r="M300" s="27"/>
      <c r="N300" s="27"/>
    </row>
    <row r="301" spans="1:14" x14ac:dyDescent="0.3">
      <c r="A301" s="1039" t="s">
        <v>772</v>
      </c>
      <c r="B301" s="1039">
        <v>9</v>
      </c>
      <c r="C301" s="26">
        <v>28</v>
      </c>
      <c r="D301" s="13">
        <v>28</v>
      </c>
      <c r="E301" s="523">
        <v>1</v>
      </c>
      <c r="F301" s="120">
        <f t="shared" si="63"/>
        <v>33.6</v>
      </c>
      <c r="G301" s="141">
        <f t="array" ref="G301">IF(E301=0,0,IF(E301=1,D301*$G$3,D301*$G$3*2))</f>
        <v>28</v>
      </c>
      <c r="H301" s="141">
        <f t="array" ref="H301">IF(E301&gt;2,D301*(E301-2)*$H$3,0)</f>
        <v>0</v>
      </c>
      <c r="I301" s="89">
        <f t="shared" si="64"/>
        <v>61.6</v>
      </c>
      <c r="J301" s="20" t="s">
        <v>124</v>
      </c>
      <c r="K301" s="27"/>
      <c r="L301" s="13"/>
      <c r="M301" s="27"/>
      <c r="N301" s="27"/>
    </row>
    <row r="302" spans="1:14" x14ac:dyDescent="0.3">
      <c r="A302" s="142" t="s">
        <v>773</v>
      </c>
      <c r="B302" s="142">
        <v>0</v>
      </c>
      <c r="C302" s="26">
        <v>14</v>
      </c>
      <c r="D302" s="13">
        <v>14</v>
      </c>
      <c r="E302" s="523">
        <v>0</v>
      </c>
      <c r="F302" s="120">
        <f t="shared" si="63"/>
        <v>0</v>
      </c>
      <c r="G302" s="141">
        <f t="array" ref="G302">IF(E302=0,0,IF(E302=1,D302*$G$3,D302*$G$3*2))</f>
        <v>0</v>
      </c>
      <c r="H302" s="141">
        <f t="array" ref="H302">IF(E302&gt;2,D302*(E302-2)*$H$3,0)</f>
        <v>0</v>
      </c>
      <c r="I302" s="89">
        <f t="shared" si="64"/>
        <v>0</v>
      </c>
      <c r="J302" s="20" t="s">
        <v>124</v>
      </c>
      <c r="K302" s="27"/>
      <c r="L302" s="13"/>
    </row>
    <row r="303" spans="1:14" x14ac:dyDescent="0.3">
      <c r="A303" s="142" t="s">
        <v>774</v>
      </c>
      <c r="B303" s="142">
        <v>0</v>
      </c>
      <c r="C303" s="26">
        <v>14</v>
      </c>
      <c r="D303" s="13">
        <v>14</v>
      </c>
      <c r="E303" s="523">
        <v>0</v>
      </c>
      <c r="F303" s="120">
        <f t="shared" si="63"/>
        <v>0</v>
      </c>
      <c r="G303" s="141">
        <f t="array" ref="G303">IF(E303=0,0,IF(E303=1,D303*$G$3,D303*$G$3*2))</f>
        <v>0</v>
      </c>
      <c r="H303" s="141">
        <f t="array" ref="H303">IF(E303&gt;2,D303*(E303-2)*$H$3,0)</f>
        <v>0</v>
      </c>
      <c r="I303" s="89">
        <f t="shared" si="64"/>
        <v>0</v>
      </c>
      <c r="J303" s="20" t="s">
        <v>124</v>
      </c>
      <c r="K303" s="27"/>
      <c r="L303" s="13"/>
    </row>
    <row r="304" spans="1:14" x14ac:dyDescent="0.3">
      <c r="A304" s="142" t="s">
        <v>775</v>
      </c>
      <c r="B304" s="142">
        <v>15</v>
      </c>
      <c r="C304" s="26">
        <v>28</v>
      </c>
      <c r="D304" s="13">
        <v>28</v>
      </c>
      <c r="E304" s="523">
        <v>1</v>
      </c>
      <c r="F304" s="120">
        <f t="shared" si="63"/>
        <v>33.6</v>
      </c>
      <c r="G304" s="141">
        <f t="array" ref="G304">IF(E304=0,0,IF(E304=1,D304*$G$3,D304*$G$3*2))</f>
        <v>28</v>
      </c>
      <c r="H304" s="141">
        <f t="array" ref="H304">IF(E304&gt;2,D304*(E304-2)*$H$3,0)</f>
        <v>0</v>
      </c>
      <c r="I304" s="123">
        <f t="shared" si="64"/>
        <v>61.6</v>
      </c>
      <c r="J304" s="20" t="s">
        <v>124</v>
      </c>
      <c r="K304" s="27"/>
      <c r="L304" s="13"/>
    </row>
    <row r="305" spans="1:14" x14ac:dyDescent="0.3">
      <c r="A305" s="142" t="s">
        <v>776</v>
      </c>
      <c r="B305" s="142">
        <v>3</v>
      </c>
      <c r="C305" s="26">
        <v>12</v>
      </c>
      <c r="D305" s="13">
        <v>6</v>
      </c>
      <c r="E305" s="523">
        <v>1</v>
      </c>
      <c r="F305" s="120">
        <f t="shared" si="63"/>
        <v>14.399999999999999</v>
      </c>
      <c r="G305" s="141">
        <f t="array" ref="G305">IF(E305=0,0,IF(E305=1,D305*$G$3,D305*$G$3*2))</f>
        <v>6</v>
      </c>
      <c r="H305" s="141">
        <f t="array" ref="H305">IF(E305&gt;2,D305*(E305-2)*$H$3,0)</f>
        <v>0</v>
      </c>
      <c r="I305" s="89">
        <f t="shared" si="64"/>
        <v>20.399999999999999</v>
      </c>
      <c r="J305" s="20" t="s">
        <v>124</v>
      </c>
      <c r="K305" s="27"/>
      <c r="L305" s="13"/>
    </row>
    <row r="306" spans="1:14" x14ac:dyDescent="0.3">
      <c r="A306" s="142" t="s">
        <v>777</v>
      </c>
      <c r="B306" s="1040">
        <v>1</v>
      </c>
      <c r="C306" s="26">
        <v>4</v>
      </c>
      <c r="D306" s="13">
        <v>4</v>
      </c>
      <c r="E306" s="523">
        <v>1</v>
      </c>
      <c r="F306" s="120">
        <f t="shared" si="63"/>
        <v>4.8</v>
      </c>
      <c r="G306" s="141">
        <f t="array" ref="G306">IF(E306=0,0,IF(E306=1,D306*$G$3,D306*$G$3*2))</f>
        <v>4</v>
      </c>
      <c r="H306" s="141">
        <f t="array" ref="H306">IF(E306&gt;2,D306*(E306-2)*$H$3,0)</f>
        <v>0</v>
      </c>
      <c r="I306" s="89">
        <f t="shared" si="64"/>
        <v>8.8000000000000007</v>
      </c>
      <c r="J306" s="20" t="s">
        <v>124</v>
      </c>
      <c r="K306" s="27"/>
      <c r="L306" s="13"/>
      <c r="M306" s="27"/>
      <c r="N306" s="27"/>
    </row>
    <row r="307" spans="1:14" x14ac:dyDescent="0.3">
      <c r="A307" s="142" t="s">
        <v>778</v>
      </c>
      <c r="B307" s="1040">
        <v>2</v>
      </c>
      <c r="C307" s="26">
        <v>4</v>
      </c>
      <c r="D307" s="13">
        <v>4</v>
      </c>
      <c r="E307" s="523">
        <v>1</v>
      </c>
      <c r="F307" s="120">
        <f t="shared" si="63"/>
        <v>4.8</v>
      </c>
      <c r="G307" s="141">
        <f t="array" ref="G307">IF(E307=0,0,IF(E307=1,D307*$G$3,D307*$G$3*2))</f>
        <v>4</v>
      </c>
      <c r="H307" s="141">
        <f t="array" ref="H307">IF(E307&gt;2,D307*(E307-2)*$H$3,0)</f>
        <v>0</v>
      </c>
      <c r="I307" s="89">
        <f t="shared" si="64"/>
        <v>8.8000000000000007</v>
      </c>
      <c r="J307" s="20" t="s">
        <v>124</v>
      </c>
      <c r="K307" s="27"/>
      <c r="L307" s="13"/>
    </row>
    <row r="308" spans="1:14" ht="16.2" thickBot="1" x14ac:dyDescent="0.35">
      <c r="A308" s="142" t="s">
        <v>779</v>
      </c>
      <c r="B308" s="142">
        <v>19</v>
      </c>
      <c r="C308" s="26">
        <v>0</v>
      </c>
      <c r="D308" s="13">
        <v>14</v>
      </c>
      <c r="E308" s="523">
        <v>1</v>
      </c>
      <c r="F308" s="120">
        <f t="shared" si="63"/>
        <v>0</v>
      </c>
      <c r="G308" s="141">
        <f t="array" ref="G308">IF(E308=0,0,IF(E308=1,D308*$G$3,D308*$G$3*2))</f>
        <v>14</v>
      </c>
      <c r="H308" s="141">
        <f t="array" ref="H308">IF(E308&gt;2,D308*(E308-2)*$H$3,0)</f>
        <v>0</v>
      </c>
      <c r="I308" s="89">
        <f t="shared" si="64"/>
        <v>14</v>
      </c>
      <c r="J308" s="911" t="s">
        <v>124</v>
      </c>
      <c r="K308" s="27"/>
      <c r="L308" s="13"/>
    </row>
    <row r="309" spans="1:14" ht="16.2" thickBot="1" x14ac:dyDescent="0.35">
      <c r="A309" s="19" t="s">
        <v>22</v>
      </c>
      <c r="B309" s="19"/>
      <c r="C309" s="84"/>
      <c r="D309" s="13"/>
      <c r="E309" s="26"/>
      <c r="F309" s="120"/>
      <c r="I309" s="135">
        <f>SUM(I276:I308)</f>
        <v>1051.1999999999998</v>
      </c>
      <c r="J309" s="20"/>
      <c r="K309" s="27"/>
      <c r="L309" s="13"/>
    </row>
    <row r="310" spans="1:14" x14ac:dyDescent="0.3">
      <c r="A310" s="27" t="s">
        <v>780</v>
      </c>
      <c r="B310" s="1036">
        <v>2</v>
      </c>
      <c r="C310" s="26">
        <v>28</v>
      </c>
      <c r="D310" s="13">
        <v>28</v>
      </c>
      <c r="E310" s="523">
        <v>1</v>
      </c>
      <c r="F310" s="120">
        <f t="shared" ref="F310:F335" si="65">IF(B310=0,0*C310*$F$2,C310*$F$2)</f>
        <v>33.6</v>
      </c>
      <c r="G310" s="141">
        <f t="array" ref="G310">IF(E310=0,0,IF(E310=1,D310*$G$3,D310*$G$3*2))</f>
        <v>28</v>
      </c>
      <c r="H310" s="141">
        <f t="array" ref="H310">IF(E310&gt;2,D310*(E310-2)*$H$3,0)</f>
        <v>0</v>
      </c>
      <c r="I310" s="123">
        <f>SUM(F310:H310)</f>
        <v>61.6</v>
      </c>
      <c r="J310" s="20" t="s">
        <v>124</v>
      </c>
      <c r="K310" s="27"/>
      <c r="L310" s="13"/>
    </row>
    <row r="311" spans="1:14" x14ac:dyDescent="0.3">
      <c r="A311" s="27" t="s">
        <v>781</v>
      </c>
      <c r="B311" s="27">
        <v>5</v>
      </c>
      <c r="C311" s="26">
        <v>28</v>
      </c>
      <c r="D311" s="13">
        <v>14</v>
      </c>
      <c r="E311" s="523">
        <v>1</v>
      </c>
      <c r="F311" s="120">
        <f t="shared" si="65"/>
        <v>33.6</v>
      </c>
      <c r="G311" s="141">
        <f t="array" ref="G311">IF(E311=0,0,IF(E311=1,D311*$G$3,D311*$G$3*2))</f>
        <v>14</v>
      </c>
      <c r="H311" s="141">
        <f t="array" ref="H311">IF(E311&gt;2,D311*(E311-2)*$H$3,0)</f>
        <v>0</v>
      </c>
      <c r="I311" s="123">
        <f>SUM(F311:H311)</f>
        <v>47.6</v>
      </c>
      <c r="J311" s="20" t="s">
        <v>124</v>
      </c>
      <c r="K311" s="1" t="s">
        <v>998</v>
      </c>
      <c r="L311" s="13"/>
    </row>
    <row r="312" spans="1:14" s="27" customFormat="1" ht="14.25" customHeight="1" x14ac:dyDescent="0.3">
      <c r="A312" s="27" t="s">
        <v>782</v>
      </c>
      <c r="B312" s="27">
        <v>0</v>
      </c>
      <c r="C312" s="26">
        <v>0</v>
      </c>
      <c r="D312" s="13">
        <v>28</v>
      </c>
      <c r="E312" s="523">
        <v>0</v>
      </c>
      <c r="F312" s="120">
        <f t="shared" si="65"/>
        <v>0</v>
      </c>
      <c r="G312" s="141">
        <f t="array" ref="G312">IF(E312=0,0,IF(E312=1,D312*$G$3,D312*$G$3*2))</f>
        <v>0</v>
      </c>
      <c r="H312" s="141">
        <f t="array" ref="H312">IF(E312&gt;2,D312*(E312-2)*$H$3,0)</f>
        <v>0</v>
      </c>
      <c r="I312" s="123">
        <f t="shared" ref="I312:I315" si="66">SUM(F312:H312)</f>
        <v>0</v>
      </c>
      <c r="J312" s="20" t="s">
        <v>124</v>
      </c>
      <c r="K312" s="1" t="s">
        <v>999</v>
      </c>
      <c r="L312" s="13"/>
      <c r="M312" s="1"/>
      <c r="N312" s="1"/>
    </row>
    <row r="313" spans="1:14" s="27" customFormat="1" ht="14.25" customHeight="1" x14ac:dyDescent="0.3">
      <c r="A313" s="27" t="s">
        <v>783</v>
      </c>
      <c r="B313" s="27">
        <v>0</v>
      </c>
      <c r="C313" s="26">
        <v>28</v>
      </c>
      <c r="D313" s="13">
        <v>28</v>
      </c>
      <c r="E313" s="523">
        <v>0</v>
      </c>
      <c r="F313" s="120">
        <f t="shared" si="65"/>
        <v>0</v>
      </c>
      <c r="G313" s="141">
        <f t="array" ref="G313">IF(E313=0,0,IF(E313=1,D313*$G$3,D313*$G$3*2))</f>
        <v>0</v>
      </c>
      <c r="H313" s="141">
        <f t="array" ref="H313">IF(E313&gt;2,D313*(E313-2)*$H$3,0)</f>
        <v>0</v>
      </c>
      <c r="I313" s="123">
        <f t="shared" si="66"/>
        <v>0</v>
      </c>
      <c r="J313" s="20" t="s">
        <v>124</v>
      </c>
      <c r="K313" s="1"/>
      <c r="L313" s="13"/>
      <c r="M313" s="1"/>
      <c r="N313" s="1"/>
    </row>
    <row r="314" spans="1:14" s="27" customFormat="1" ht="14.25" customHeight="1" x14ac:dyDescent="0.3">
      <c r="A314" s="27" t="s">
        <v>784</v>
      </c>
      <c r="B314" s="27">
        <v>8</v>
      </c>
      <c r="C314" s="26">
        <v>28</v>
      </c>
      <c r="D314" s="13">
        <v>28</v>
      </c>
      <c r="E314" s="523">
        <v>1</v>
      </c>
      <c r="F314" s="120">
        <f t="shared" si="65"/>
        <v>33.6</v>
      </c>
      <c r="G314" s="141">
        <f t="array" ref="G314">IF(E314=0,0,IF(E314=1,D314*$G$3,D314*$G$3*2))</f>
        <v>28</v>
      </c>
      <c r="H314" s="141">
        <f t="array" ref="H314">IF(E314&gt;2,D314*(E314-2)*$H$3,0)</f>
        <v>0</v>
      </c>
      <c r="I314" s="123">
        <f t="shared" si="66"/>
        <v>61.6</v>
      </c>
      <c r="J314" s="20" t="s">
        <v>124</v>
      </c>
      <c r="K314" s="1"/>
      <c r="L314" s="13"/>
      <c r="M314" s="1"/>
      <c r="N314" s="1"/>
    </row>
    <row r="315" spans="1:14" x14ac:dyDescent="0.3">
      <c r="A315" s="27" t="s">
        <v>785</v>
      </c>
      <c r="B315" s="1036">
        <v>2</v>
      </c>
      <c r="C315" s="26">
        <v>28</v>
      </c>
      <c r="D315" s="13">
        <v>28</v>
      </c>
      <c r="E315" s="523">
        <v>1</v>
      </c>
      <c r="F315" s="120">
        <f t="shared" si="65"/>
        <v>33.6</v>
      </c>
      <c r="G315" s="141">
        <f t="array" ref="G315">IF(E315=0,0,IF(E315=1,D315*$G$3,D315*$G$3*2))</f>
        <v>28</v>
      </c>
      <c r="H315" s="141">
        <f t="array" ref="H315">IF(E315&gt;2,D315*(E315-2)*$H$3,0)</f>
        <v>0</v>
      </c>
      <c r="I315" s="123">
        <f t="shared" si="66"/>
        <v>61.6</v>
      </c>
      <c r="J315" s="20" t="s">
        <v>124</v>
      </c>
      <c r="L315" s="13"/>
      <c r="M315" s="27"/>
      <c r="N315" s="27"/>
    </row>
    <row r="316" spans="1:14" x14ac:dyDescent="0.3">
      <c r="A316" s="27" t="s">
        <v>786</v>
      </c>
      <c r="B316" s="1036">
        <v>2</v>
      </c>
      <c r="C316" s="26">
        <v>28</v>
      </c>
      <c r="D316" s="13">
        <v>28</v>
      </c>
      <c r="E316" s="523">
        <v>1</v>
      </c>
      <c r="F316" s="120">
        <f t="shared" si="65"/>
        <v>33.6</v>
      </c>
      <c r="G316" s="141">
        <f t="array" ref="G316">IF(E316=0,0,IF(E316=1,D316*$G$3,D316*$G$3*2))</f>
        <v>28</v>
      </c>
      <c r="H316" s="141">
        <f t="array" ref="H316">IF(E316&gt;2,D316*(E316-2)*$H$3,0)</f>
        <v>0</v>
      </c>
      <c r="I316" s="123">
        <f>SUM(F316:H316)</f>
        <v>61.6</v>
      </c>
      <c r="J316" s="20" t="s">
        <v>124</v>
      </c>
      <c r="L316" s="13"/>
      <c r="M316" s="27"/>
      <c r="N316" s="27"/>
    </row>
    <row r="317" spans="1:14" x14ac:dyDescent="0.3">
      <c r="A317" s="27" t="s">
        <v>787</v>
      </c>
      <c r="B317" s="27">
        <v>18</v>
      </c>
      <c r="C317" s="26">
        <v>28</v>
      </c>
      <c r="D317" s="13">
        <v>28</v>
      </c>
      <c r="E317" s="523">
        <v>1</v>
      </c>
      <c r="F317" s="120">
        <f t="shared" si="65"/>
        <v>33.6</v>
      </c>
      <c r="G317" s="141">
        <f t="array" ref="G317">IF(E317=0,0,IF(E317=1,D317*$G$3,D317*$G$3*2))</f>
        <v>28</v>
      </c>
      <c r="H317" s="141">
        <f t="array" ref="H317">IF(E317&gt;2,D317*(E317-2)*$H$3,0)</f>
        <v>0</v>
      </c>
      <c r="I317" s="123">
        <f t="shared" ref="I317:I325" si="67">SUM(F317:H317)</f>
        <v>61.6</v>
      </c>
      <c r="J317" s="20" t="s">
        <v>124</v>
      </c>
      <c r="L317" s="13"/>
    </row>
    <row r="318" spans="1:14" x14ac:dyDescent="0.3">
      <c r="A318" s="27" t="s">
        <v>788</v>
      </c>
      <c r="B318" s="27">
        <v>15</v>
      </c>
      <c r="C318" s="26">
        <v>28</v>
      </c>
      <c r="D318" s="13">
        <v>28</v>
      </c>
      <c r="E318" s="523">
        <v>1</v>
      </c>
      <c r="F318" s="120">
        <f t="shared" si="65"/>
        <v>33.6</v>
      </c>
      <c r="G318" s="141">
        <f t="array" ref="G318">IF(E318=0,0,IF(E318=1,D318*$G$3,D318*$G$3*2))</f>
        <v>28</v>
      </c>
      <c r="H318" s="141">
        <f t="array" ref="H318">IF(E318&gt;2,D318*(E318-2)*$H$3,0)</f>
        <v>0</v>
      </c>
      <c r="I318" s="123">
        <f t="shared" si="67"/>
        <v>61.6</v>
      </c>
      <c r="J318" s="20" t="s">
        <v>124</v>
      </c>
      <c r="L318" s="13"/>
    </row>
    <row r="319" spans="1:14" x14ac:dyDescent="0.3">
      <c r="A319" s="1038" t="s">
        <v>789</v>
      </c>
      <c r="B319" s="125">
        <v>6</v>
      </c>
      <c r="C319" s="26">
        <v>28</v>
      </c>
      <c r="D319" s="13">
        <v>28</v>
      </c>
      <c r="E319" s="523">
        <v>1</v>
      </c>
      <c r="F319" s="120">
        <f t="shared" si="65"/>
        <v>33.6</v>
      </c>
      <c r="G319" s="141">
        <f t="array" ref="G319">IF(E319=0,0,IF(E319=1,D319*$G$3,D319*$G$3*2))</f>
        <v>28</v>
      </c>
      <c r="H319" s="141">
        <f t="array" ref="H319">IF(E319&gt;2,D319*(E319-2)*$H$3,0)</f>
        <v>0</v>
      </c>
      <c r="I319" s="123">
        <f t="shared" si="67"/>
        <v>61.6</v>
      </c>
      <c r="J319" s="20" t="s">
        <v>124</v>
      </c>
      <c r="L319" s="13"/>
    </row>
    <row r="320" spans="1:14" x14ac:dyDescent="0.3">
      <c r="A320" s="142" t="s">
        <v>790</v>
      </c>
      <c r="B320" s="125">
        <v>14</v>
      </c>
      <c r="C320" s="26">
        <v>20</v>
      </c>
      <c r="D320" s="13">
        <v>20</v>
      </c>
      <c r="E320" s="523">
        <v>1</v>
      </c>
      <c r="F320" s="120">
        <f t="shared" si="65"/>
        <v>24</v>
      </c>
      <c r="G320" s="141">
        <f t="array" ref="G320">IF(E320=0,0,IF(E320=1,D320*$G$3,D320*$G$3*2))</f>
        <v>20</v>
      </c>
      <c r="H320" s="141">
        <f t="array" ref="H320">IF(E320&gt;2,D320*(E320-2)*$H$3,0)</f>
        <v>0</v>
      </c>
      <c r="I320" s="123">
        <f t="shared" si="67"/>
        <v>44</v>
      </c>
      <c r="J320" s="20" t="s">
        <v>124</v>
      </c>
      <c r="L320" s="13"/>
    </row>
    <row r="321" spans="1:14" x14ac:dyDescent="0.3">
      <c r="A321" s="142" t="s">
        <v>791</v>
      </c>
      <c r="B321" s="1035">
        <v>1</v>
      </c>
      <c r="C321" s="26">
        <v>0</v>
      </c>
      <c r="D321" s="13">
        <v>20</v>
      </c>
      <c r="E321" s="523">
        <v>1</v>
      </c>
      <c r="F321" s="120">
        <f t="shared" si="65"/>
        <v>0</v>
      </c>
      <c r="G321" s="141">
        <f t="array" ref="G321">IF(E321=0,0,IF(E321=1,D321*$G$3,D321*$G$3*2))</f>
        <v>20</v>
      </c>
      <c r="H321" s="141">
        <f t="array" ref="H321">IF(E321&gt;2,D321*(E321-2)*$H$3,0)</f>
        <v>0</v>
      </c>
      <c r="I321" s="123">
        <f t="shared" si="67"/>
        <v>20</v>
      </c>
      <c r="J321" s="20" t="s">
        <v>124</v>
      </c>
      <c r="L321" s="13"/>
      <c r="M321" s="27"/>
      <c r="N321" s="27"/>
    </row>
    <row r="322" spans="1:14" x14ac:dyDescent="0.3">
      <c r="A322" s="142" t="s">
        <v>792</v>
      </c>
      <c r="B322" s="125">
        <v>21</v>
      </c>
      <c r="C322" s="26">
        <v>0</v>
      </c>
      <c r="D322" s="13">
        <v>30</v>
      </c>
      <c r="E322" s="523">
        <v>1</v>
      </c>
      <c r="F322" s="120">
        <f t="shared" si="65"/>
        <v>0</v>
      </c>
      <c r="G322" s="141">
        <f t="array" ref="G322">IF(E322=0,0,IF(E322=1,D322*$G$3,D322*$G$3*2))</f>
        <v>30</v>
      </c>
      <c r="H322" s="141">
        <f t="array" ref="H322">IF(E322&gt;2,D322*(E322-2)*$H$3,0)</f>
        <v>0</v>
      </c>
      <c r="I322" s="89">
        <f t="shared" si="67"/>
        <v>30</v>
      </c>
      <c r="J322" s="20" t="s">
        <v>124</v>
      </c>
      <c r="L322" s="138"/>
    </row>
    <row r="323" spans="1:14" x14ac:dyDescent="0.3">
      <c r="A323" s="142" t="s">
        <v>793</v>
      </c>
      <c r="B323" s="125">
        <v>0</v>
      </c>
      <c r="C323" s="26">
        <v>20</v>
      </c>
      <c r="D323" s="13">
        <v>20</v>
      </c>
      <c r="E323" s="523">
        <v>0</v>
      </c>
      <c r="F323" s="120">
        <f t="shared" si="65"/>
        <v>0</v>
      </c>
      <c r="G323" s="141">
        <f t="array" ref="G323">IF(E323=0,0,IF(E323=1,D323*$G$3,D323*$G$3*2))</f>
        <v>0</v>
      </c>
      <c r="H323" s="141">
        <f t="array" ref="H323">IF(E323&gt;2,D323*(E323-2)*$H$3,0)</f>
        <v>0</v>
      </c>
      <c r="I323" s="123">
        <f t="shared" si="67"/>
        <v>0</v>
      </c>
      <c r="J323" s="20" t="s">
        <v>124</v>
      </c>
      <c r="L323" s="13"/>
      <c r="M323" s="27"/>
      <c r="N323" s="27"/>
    </row>
    <row r="324" spans="1:14" x14ac:dyDescent="0.3">
      <c r="A324" s="142" t="s">
        <v>794</v>
      </c>
      <c r="B324" s="1035">
        <v>2</v>
      </c>
      <c r="C324" s="26">
        <v>20</v>
      </c>
      <c r="D324" s="13">
        <v>20</v>
      </c>
      <c r="E324" s="523">
        <v>1</v>
      </c>
      <c r="F324" s="120">
        <f t="shared" si="65"/>
        <v>24</v>
      </c>
      <c r="G324" s="141">
        <f t="array" ref="G324">IF(E324=0,0,IF(E324=1,D324*$G$3,D324*$G$3*2))</f>
        <v>20</v>
      </c>
      <c r="H324" s="141">
        <f t="array" ref="H324">IF(E324&gt;2,D324*(E324-2)*$H$3,0)</f>
        <v>0</v>
      </c>
      <c r="I324" s="123">
        <f t="shared" si="67"/>
        <v>44</v>
      </c>
      <c r="J324" s="20" t="s">
        <v>124</v>
      </c>
      <c r="L324" s="22"/>
    </row>
    <row r="325" spans="1:14" x14ac:dyDescent="0.3">
      <c r="A325" s="142" t="s">
        <v>795</v>
      </c>
      <c r="B325" s="125">
        <v>18</v>
      </c>
      <c r="C325" s="26">
        <v>20</v>
      </c>
      <c r="D325" s="13">
        <v>20</v>
      </c>
      <c r="E325" s="523">
        <v>1</v>
      </c>
      <c r="F325" s="120">
        <f t="shared" si="65"/>
        <v>24</v>
      </c>
      <c r="G325" s="141">
        <f t="array" ref="G325">IF(E325=0,0,IF(E325=1,D325*$G$3,D325*$G$3*2))</f>
        <v>20</v>
      </c>
      <c r="H325" s="141">
        <f t="array" ref="H325">IF(E325&gt;2,D325*(E325-2)*$H$3,0)</f>
        <v>0</v>
      </c>
      <c r="I325" s="123">
        <f t="shared" si="67"/>
        <v>44</v>
      </c>
      <c r="J325" s="20" t="s">
        <v>124</v>
      </c>
      <c r="L325" s="22"/>
    </row>
    <row r="326" spans="1:14" x14ac:dyDescent="0.3">
      <c r="A326" s="142" t="s">
        <v>796</v>
      </c>
      <c r="B326" s="125">
        <v>0</v>
      </c>
      <c r="C326" s="26">
        <v>20</v>
      </c>
      <c r="D326" s="13">
        <v>10</v>
      </c>
      <c r="E326" s="523">
        <v>0</v>
      </c>
      <c r="F326" s="120">
        <f t="shared" si="65"/>
        <v>0</v>
      </c>
      <c r="G326" s="141">
        <f t="array" ref="G326">IF(E326=0,0,IF(E326=1,D326*$G$3,D326*$G$3*2))</f>
        <v>0</v>
      </c>
      <c r="H326" s="141">
        <f t="array" ref="H326">IF(E326&gt;2,D326*(E326-2)*$H$3,0)</f>
        <v>0</v>
      </c>
      <c r="I326" s="123">
        <f>SUM(F326:H326)</f>
        <v>0</v>
      </c>
      <c r="J326" s="20" t="s">
        <v>124</v>
      </c>
      <c r="L326" s="22"/>
    </row>
    <row r="327" spans="1:14" x14ac:dyDescent="0.3">
      <c r="A327" s="142" t="s">
        <v>797</v>
      </c>
      <c r="B327" s="125">
        <v>8</v>
      </c>
      <c r="C327" s="26">
        <v>28</v>
      </c>
      <c r="D327" s="13">
        <v>28</v>
      </c>
      <c r="E327" s="523">
        <v>1</v>
      </c>
      <c r="F327" s="120">
        <f t="shared" si="65"/>
        <v>33.6</v>
      </c>
      <c r="G327" s="141">
        <f t="array" ref="G327">IF(E327=0,0,IF(E327=1,D327*$G$3,D327*$G$3*2))</f>
        <v>28</v>
      </c>
      <c r="H327" s="141">
        <f t="array" ref="H327">IF(E327&gt;2,D327*(E327-2)*$H$3,0)</f>
        <v>0</v>
      </c>
      <c r="I327" s="123">
        <f t="shared" ref="I327:I331" si="68">SUM(F327:H327)</f>
        <v>61.6</v>
      </c>
      <c r="J327" s="20" t="s">
        <v>124</v>
      </c>
      <c r="L327" s="22"/>
    </row>
    <row r="328" spans="1:14" x14ac:dyDescent="0.3">
      <c r="A328" s="142" t="s">
        <v>798</v>
      </c>
      <c r="B328" s="1035">
        <v>1</v>
      </c>
      <c r="C328" s="26">
        <v>0</v>
      </c>
      <c r="D328" s="13">
        <v>20</v>
      </c>
      <c r="E328" s="523">
        <v>1</v>
      </c>
      <c r="F328" s="120">
        <f t="shared" si="65"/>
        <v>0</v>
      </c>
      <c r="G328" s="141">
        <f t="array" ref="G328">IF(E328=0,0,IF(E328=1,D328*$G$3,D328*$G$3*2))</f>
        <v>20</v>
      </c>
      <c r="H328" s="141">
        <f t="array" ref="H328">IF(E328&gt;2,D328*(E328-2)*$H$3,0)</f>
        <v>0</v>
      </c>
      <c r="I328" s="123">
        <f t="shared" si="68"/>
        <v>20</v>
      </c>
      <c r="J328" s="20" t="s">
        <v>124</v>
      </c>
      <c r="L328" s="13"/>
      <c r="M328" s="27"/>
      <c r="N328" s="27"/>
    </row>
    <row r="329" spans="1:14" x14ac:dyDescent="0.3">
      <c r="A329" s="142" t="s">
        <v>799</v>
      </c>
      <c r="B329" s="125">
        <v>0</v>
      </c>
      <c r="C329" s="26">
        <v>20</v>
      </c>
      <c r="D329" s="13">
        <v>0</v>
      </c>
      <c r="E329" s="523">
        <v>0</v>
      </c>
      <c r="F329" s="120">
        <f t="shared" si="65"/>
        <v>0</v>
      </c>
      <c r="G329" s="141">
        <f t="array" ref="G329">IF(E329=0,0,IF(E329=1,D329*$G$3,D329*$G$3*2))</f>
        <v>0</v>
      </c>
      <c r="H329" s="141">
        <f t="array" ref="H329">IF(E329&gt;2,D329*(E329-2)*$H$3,0)</f>
        <v>0</v>
      </c>
      <c r="I329" s="123">
        <f t="shared" si="68"/>
        <v>0</v>
      </c>
      <c r="J329" s="20" t="s">
        <v>124</v>
      </c>
      <c r="L329" s="22"/>
    </row>
    <row r="330" spans="1:14" x14ac:dyDescent="0.3">
      <c r="A330" s="142" t="s">
        <v>800</v>
      </c>
      <c r="B330" s="1037">
        <v>2</v>
      </c>
      <c r="C330" s="26">
        <v>20</v>
      </c>
      <c r="D330" s="13">
        <v>20</v>
      </c>
      <c r="E330" s="523">
        <v>1</v>
      </c>
      <c r="F330" s="120">
        <f t="shared" si="65"/>
        <v>24</v>
      </c>
      <c r="G330" s="141">
        <f t="array" ref="G330">IF(E330=0,0,IF(E330=1,D330*$G$3,D330*$G$3*2))</f>
        <v>20</v>
      </c>
      <c r="H330" s="141">
        <f t="array" ref="H330">IF(E330&gt;2,D330*(E330-2)*$H$3,0)</f>
        <v>0</v>
      </c>
      <c r="I330" s="123">
        <f t="shared" si="68"/>
        <v>44</v>
      </c>
      <c r="J330" s="20" t="s">
        <v>124</v>
      </c>
      <c r="L330" s="13"/>
    </row>
    <row r="331" spans="1:14" x14ac:dyDescent="0.3">
      <c r="A331" s="1039" t="s">
        <v>801</v>
      </c>
      <c r="B331" s="27">
        <v>14</v>
      </c>
      <c r="C331" s="26">
        <v>0</v>
      </c>
      <c r="D331" s="13">
        <v>28</v>
      </c>
      <c r="E331" s="523">
        <v>1</v>
      </c>
      <c r="F331" s="120">
        <f t="shared" si="65"/>
        <v>0</v>
      </c>
      <c r="G331" s="141">
        <f t="array" ref="G331">IF(E331=0,0,IF(E331=1,D331*$G$3,D331*$G$3*2))</f>
        <v>28</v>
      </c>
      <c r="H331" s="141">
        <f t="array" ref="H331">IF(E331&gt;2,D331*(E331-2)*$H$3,0)</f>
        <v>0</v>
      </c>
      <c r="I331" s="123">
        <f t="shared" si="68"/>
        <v>28</v>
      </c>
      <c r="J331" s="20" t="s">
        <v>124</v>
      </c>
      <c r="L331" s="22"/>
    </row>
    <row r="332" spans="1:14" x14ac:dyDescent="0.3">
      <c r="A332" s="1039" t="s">
        <v>502</v>
      </c>
      <c r="B332" s="125">
        <v>0</v>
      </c>
      <c r="C332" s="26">
        <v>0</v>
      </c>
      <c r="D332" s="13">
        <v>28</v>
      </c>
      <c r="E332" s="523">
        <v>0</v>
      </c>
      <c r="F332" s="120">
        <f t="shared" si="65"/>
        <v>0</v>
      </c>
      <c r="G332" s="141">
        <f t="array" ref="G332">IF(E332=0,0,IF(E332=1,D332*$G$3,D332*$G$3*2))</f>
        <v>0</v>
      </c>
      <c r="H332" s="141">
        <f t="array" ref="H332">IF(E332&gt;2,D332*(E332-2)*$H$3,0)</f>
        <v>0</v>
      </c>
      <c r="I332" s="89">
        <f>SUM(F332:H332)</f>
        <v>0</v>
      </c>
      <c r="J332" s="20" t="s">
        <v>124</v>
      </c>
      <c r="L332" s="22"/>
    </row>
    <row r="333" spans="1:14" x14ac:dyDescent="0.3">
      <c r="A333" s="1039" t="s">
        <v>504</v>
      </c>
      <c r="B333" s="27">
        <v>8</v>
      </c>
      <c r="C333" s="26">
        <v>28</v>
      </c>
      <c r="D333" s="13">
        <v>28</v>
      </c>
      <c r="E333" s="523">
        <v>1</v>
      </c>
      <c r="F333" s="120">
        <f t="shared" si="65"/>
        <v>33.6</v>
      </c>
      <c r="G333" s="141">
        <f t="array" ref="G333">IF(E333=0,0,IF(E333=1,D333*$G$3,D333*$G$3*2))</f>
        <v>28</v>
      </c>
      <c r="H333" s="141">
        <f t="array" ref="H333">IF(E333&gt;2,D333*(E333-2)*$H$3,0)</f>
        <v>0</v>
      </c>
      <c r="I333" s="89">
        <f>SUM(F333:H333)</f>
        <v>61.6</v>
      </c>
      <c r="J333" s="20" t="s">
        <v>124</v>
      </c>
      <c r="K333" s="1" t="s">
        <v>1000</v>
      </c>
      <c r="L333" s="22"/>
    </row>
    <row r="334" spans="1:14" x14ac:dyDescent="0.3">
      <c r="A334" s="142" t="s">
        <v>802</v>
      </c>
      <c r="B334" s="125">
        <v>21</v>
      </c>
      <c r="C334" s="26">
        <v>20</v>
      </c>
      <c r="D334" s="13">
        <v>20</v>
      </c>
      <c r="E334" s="523">
        <v>1</v>
      </c>
      <c r="F334" s="120">
        <f t="shared" si="65"/>
        <v>24</v>
      </c>
      <c r="G334" s="141">
        <f t="array" ref="G334">IF(E334=0,0,IF(E334=1,D334*$G$3,D334*$G$3*2))</f>
        <v>20</v>
      </c>
      <c r="H334" s="141">
        <f t="array" ref="H334">IF(E334&gt;2,D334*(E334-2)*$H$3,0)</f>
        <v>0</v>
      </c>
      <c r="I334" s="89">
        <f>SUM(F334:H334)</f>
        <v>44</v>
      </c>
      <c r="J334" s="20" t="s">
        <v>124</v>
      </c>
      <c r="K334" s="1" t="s">
        <v>1001</v>
      </c>
      <c r="L334" s="22"/>
    </row>
    <row r="335" spans="1:14" ht="16.2" thickBot="1" x14ac:dyDescent="0.35">
      <c r="A335" s="142" t="s">
        <v>503</v>
      </c>
      <c r="B335" s="27">
        <v>0</v>
      </c>
      <c r="C335" s="26">
        <v>0</v>
      </c>
      <c r="D335" s="13">
        <v>8</v>
      </c>
      <c r="E335" s="523">
        <v>0</v>
      </c>
      <c r="F335" s="120">
        <f t="shared" si="65"/>
        <v>0</v>
      </c>
      <c r="G335" s="141">
        <f t="array" ref="G335">IF(E335=0,0,IF(E335=1,D335*$G$3,D335*$G$3*2))</f>
        <v>0</v>
      </c>
      <c r="H335" s="141">
        <f t="array" ref="H335">IF(E335&gt;2,D335*(E335-2)*$H$3,0)</f>
        <v>0</v>
      </c>
      <c r="I335" s="89">
        <f t="shared" ref="I335" si="69">SUM(F335:H335)</f>
        <v>0</v>
      </c>
      <c r="J335" s="20" t="s">
        <v>124</v>
      </c>
      <c r="K335" s="27"/>
      <c r="L335" s="22"/>
    </row>
    <row r="336" spans="1:14" ht="16.2" thickBot="1" x14ac:dyDescent="0.35">
      <c r="A336" s="27"/>
      <c r="B336" s="27"/>
      <c r="C336" s="90"/>
      <c r="D336" s="90"/>
      <c r="E336" s="26"/>
      <c r="F336" s="120"/>
      <c r="G336" s="120"/>
      <c r="H336" s="120"/>
      <c r="I336" s="135">
        <f>SUM(I310:I335)</f>
        <v>920.00000000000011</v>
      </c>
      <c r="J336" s="148"/>
      <c r="K336" s="27"/>
      <c r="L336" s="22"/>
    </row>
    <row r="337" spans="1:21" ht="16.2" thickBot="1" x14ac:dyDescent="0.35">
      <c r="A337" s="27"/>
      <c r="B337" s="27"/>
      <c r="C337" s="26"/>
      <c r="D337" s="13"/>
      <c r="E337" s="26"/>
      <c r="F337" s="120"/>
      <c r="G337" s="120"/>
      <c r="H337" s="140" t="s">
        <v>136</v>
      </c>
      <c r="I337" s="135">
        <f>SUM(I336,I309)</f>
        <v>1971.1999999999998</v>
      </c>
      <c r="J337" s="69"/>
      <c r="K337" s="27"/>
      <c r="L337" s="22"/>
    </row>
    <row r="338" spans="1:21" x14ac:dyDescent="0.3">
      <c r="A338" s="27"/>
      <c r="B338" s="27"/>
      <c r="C338" s="26"/>
      <c r="D338" s="13"/>
      <c r="E338" s="26"/>
      <c r="F338" s="120"/>
      <c r="G338" s="120"/>
      <c r="H338" s="120"/>
      <c r="I338" s="89"/>
      <c r="J338" s="69"/>
      <c r="K338" s="27"/>
      <c r="L338" s="22"/>
    </row>
    <row r="339" spans="1:21" s="27" customFormat="1" x14ac:dyDescent="0.3">
      <c r="C339" s="26"/>
      <c r="D339" s="138"/>
      <c r="E339" s="26"/>
      <c r="F339" s="120"/>
      <c r="G339" s="120"/>
      <c r="H339" s="140" t="s">
        <v>135</v>
      </c>
      <c r="I339" s="89">
        <f>I38+I140+I275</f>
        <v>10042.799999999999</v>
      </c>
      <c r="J339" s="89">
        <f>SUMIF($J$7:$J$335,K339,$I$7:I335)</f>
        <v>10042.800000000007</v>
      </c>
      <c r="K339" s="13" t="s">
        <v>30</v>
      </c>
      <c r="L339" s="67">
        <f>J339-I339</f>
        <v>0</v>
      </c>
      <c r="M339" s="1"/>
      <c r="N339" s="1"/>
      <c r="O339" s="1"/>
      <c r="P339" s="1"/>
      <c r="Q339" s="1"/>
      <c r="R339" s="1"/>
      <c r="S339" s="1"/>
    </row>
    <row r="340" spans="1:21" s="27" customFormat="1" x14ac:dyDescent="0.3">
      <c r="C340" s="26"/>
      <c r="D340" s="138"/>
      <c r="E340" s="26"/>
      <c r="F340" s="120"/>
      <c r="G340" s="120"/>
      <c r="H340" s="140" t="s">
        <v>136</v>
      </c>
      <c r="I340" s="89">
        <f>I62+I208+I337</f>
        <v>6409.5999999999985</v>
      </c>
      <c r="J340" s="89">
        <f>SUMIF($J$7:$J$335,K340,$I$7:I336)</f>
        <v>6409.6000000000067</v>
      </c>
      <c r="K340" s="20" t="s">
        <v>124</v>
      </c>
      <c r="L340" s="67">
        <f>J340-I340</f>
        <v>8.1854523159563541E-12</v>
      </c>
      <c r="M340" s="1"/>
      <c r="N340" s="1"/>
      <c r="O340" s="1"/>
      <c r="P340" s="1"/>
      <c r="Q340" s="1"/>
      <c r="R340" s="1"/>
      <c r="S340" s="1"/>
    </row>
    <row r="341" spans="1:21" s="27" customFormat="1" x14ac:dyDescent="0.3">
      <c r="A341" s="51"/>
      <c r="B341" s="51"/>
      <c r="C341" s="47"/>
      <c r="D341" s="149"/>
      <c r="E341" s="26"/>
      <c r="F341" s="120"/>
      <c r="G341" s="120"/>
      <c r="H341" s="120"/>
      <c r="I341" s="36">
        <f>SUM(I339:I340)</f>
        <v>16452.399999999998</v>
      </c>
      <c r="J341" s="36">
        <f>SUM(J339:J340)</f>
        <v>16452.400000000012</v>
      </c>
      <c r="L341" s="1"/>
      <c r="M341" s="1"/>
      <c r="N341" s="1"/>
      <c r="O341" s="1"/>
      <c r="P341" s="1"/>
      <c r="Q341" s="1"/>
      <c r="R341" s="1"/>
      <c r="S341" s="1"/>
    </row>
    <row r="342" spans="1:21" s="27" customFormat="1" x14ac:dyDescent="0.3">
      <c r="A342" s="51"/>
      <c r="B342" s="51"/>
      <c r="C342" s="47"/>
      <c r="D342" s="149"/>
      <c r="E342" s="26"/>
      <c r="F342" s="120"/>
      <c r="G342" s="120"/>
      <c r="H342" s="120"/>
      <c r="I342" s="89"/>
      <c r="J342" s="21"/>
      <c r="L342" s="1"/>
      <c r="M342" s="1"/>
      <c r="N342" s="1"/>
      <c r="O342" s="1"/>
      <c r="P342" s="1"/>
      <c r="Q342" s="1"/>
      <c r="R342" s="1"/>
      <c r="S342" s="1"/>
    </row>
    <row r="343" spans="1:21" s="27" customFormat="1" ht="16.2" thickBot="1" x14ac:dyDescent="0.35">
      <c r="A343" s="51"/>
      <c r="B343" s="51"/>
      <c r="C343" s="47"/>
      <c r="D343" s="149"/>
      <c r="E343" s="26"/>
      <c r="F343" s="120"/>
      <c r="G343" s="120"/>
      <c r="H343" s="120"/>
      <c r="I343" s="171" t="s">
        <v>60</v>
      </c>
      <c r="J343" s="172"/>
      <c r="L343" s="1"/>
      <c r="M343" s="1"/>
      <c r="N343" s="1"/>
      <c r="O343" s="1"/>
      <c r="P343" s="1"/>
      <c r="Q343" s="1"/>
      <c r="R343" s="1"/>
      <c r="S343" s="1"/>
    </row>
    <row r="344" spans="1:21" s="27" customFormat="1" ht="16.2" thickBot="1" x14ac:dyDescent="0.35">
      <c r="A344" s="19" t="s">
        <v>90</v>
      </c>
      <c r="B344" s="19"/>
      <c r="C344" s="150"/>
      <c r="D344" s="151" t="s">
        <v>106</v>
      </c>
      <c r="E344" s="152"/>
      <c r="F344" s="153"/>
      <c r="G344" s="151" t="s">
        <v>107</v>
      </c>
      <c r="H344" s="154"/>
      <c r="I344" s="171" t="s">
        <v>61</v>
      </c>
      <c r="J344" s="172"/>
      <c r="K344" s="30" t="s">
        <v>96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s="19" customFormat="1" x14ac:dyDescent="0.3">
      <c r="A345" s="15" t="s">
        <v>86</v>
      </c>
      <c r="B345" s="15"/>
      <c r="C345" s="155">
        <f>I38</f>
        <v>1888.8</v>
      </c>
      <c r="D345" s="156">
        <f>C345/$C$348*100</f>
        <v>18.807503883379137</v>
      </c>
      <c r="E345" s="157">
        <f>$C$356*D345/100</f>
        <v>4102198.4287021374</v>
      </c>
      <c r="F345" s="155">
        <f>I62</f>
        <v>1145.5999999999999</v>
      </c>
      <c r="G345" s="156">
        <f>F345/$F$348*100</f>
        <v>17.873190214677987</v>
      </c>
      <c r="H345" s="157">
        <f>$C$359*G345/100</f>
        <v>2192228.5816698177</v>
      </c>
      <c r="I345" s="157">
        <f>'2_Projekty_BP_DP'!J5</f>
        <v>332000</v>
      </c>
      <c r="J345" s="157">
        <f>E345+H345+I345</f>
        <v>6626427.0103719551</v>
      </c>
      <c r="K345" s="158">
        <f>J345/$J$348*100</f>
        <v>18.003192051276084</v>
      </c>
      <c r="L345" s="1"/>
      <c r="M345" s="1"/>
      <c r="N345" s="1"/>
      <c r="O345" s="1"/>
      <c r="P345" s="1"/>
      <c r="Q345" s="1"/>
      <c r="R345" s="1"/>
      <c r="S345" s="1"/>
    </row>
    <row r="346" spans="1:21" s="19" customFormat="1" x14ac:dyDescent="0.3">
      <c r="A346" s="15" t="s">
        <v>87</v>
      </c>
      <c r="B346" s="15"/>
      <c r="C346" s="159">
        <f>I140</f>
        <v>4992.3999999999996</v>
      </c>
      <c r="D346" s="28">
        <f>C346/$C$348*100</f>
        <v>49.711235910303898</v>
      </c>
      <c r="E346" s="160">
        <f>$C$356*D346/100</f>
        <v>10842765.478320919</v>
      </c>
      <c r="F346" s="159">
        <f>I208</f>
        <v>3292.7999999999988</v>
      </c>
      <c r="G346" s="28">
        <f>F346/$F$348*100</f>
        <v>51.372940589116325</v>
      </c>
      <c r="H346" s="160">
        <f>$C$359*G346/100</f>
        <v>6301126.286419671</v>
      </c>
      <c r="I346" s="160">
        <f>'2_Projekty_BP_DP'!J6</f>
        <v>1732000</v>
      </c>
      <c r="J346" s="160">
        <f>E346+H346+I346</f>
        <v>18875891.76474059</v>
      </c>
      <c r="K346" s="161">
        <f>J346/$J$348*100</f>
        <v>51.283490189783343</v>
      </c>
      <c r="L346" s="1"/>
      <c r="M346" s="1"/>
      <c r="N346" s="1"/>
      <c r="O346" s="1"/>
      <c r="P346" s="1"/>
      <c r="Q346" s="1"/>
      <c r="R346" s="1"/>
      <c r="S346" s="1"/>
    </row>
    <row r="347" spans="1:21" s="19" customFormat="1" ht="16.2" thickBot="1" x14ac:dyDescent="0.35">
      <c r="A347" s="15" t="s">
        <v>88</v>
      </c>
      <c r="B347" s="15"/>
      <c r="C347" s="159">
        <f>I275</f>
        <v>3161.6</v>
      </c>
      <c r="D347" s="28">
        <f>C347/$C$348*100</f>
        <v>31.481260206316964</v>
      </c>
      <c r="E347" s="160">
        <f>$C$356*D347/100</f>
        <v>6866534.5998436455</v>
      </c>
      <c r="F347" s="159">
        <f>I337</f>
        <v>1971.1999999999998</v>
      </c>
      <c r="G347" s="28">
        <f>F347/$F$348*100</f>
        <v>30.753869196205695</v>
      </c>
      <c r="H347" s="160">
        <f>$C$359*G347/100</f>
        <v>3772102.810917899</v>
      </c>
      <c r="I347" s="160">
        <f>'2_Projekty_BP_DP'!J7</f>
        <v>666000</v>
      </c>
      <c r="J347" s="160">
        <f>E347+H347+I347</f>
        <v>11304637.410761544</v>
      </c>
      <c r="K347" s="161">
        <f>J347/$J$348*100</f>
        <v>30.71331775894058</v>
      </c>
      <c r="L347" s="1"/>
      <c r="M347" s="1"/>
      <c r="N347" s="1"/>
      <c r="O347" s="1"/>
      <c r="P347" s="1"/>
      <c r="Q347" s="1"/>
      <c r="R347" s="1"/>
      <c r="S347" s="1"/>
    </row>
    <row r="348" spans="1:21" s="29" customFormat="1" ht="16.8" thickBot="1" x14ac:dyDescent="0.4">
      <c r="A348" s="27"/>
      <c r="B348" s="27"/>
      <c r="C348" s="162">
        <f t="shared" ref="C348:K348" si="70">SUM(C345:C347)</f>
        <v>10042.799999999999</v>
      </c>
      <c r="D348" s="162">
        <f t="shared" si="70"/>
        <v>100</v>
      </c>
      <c r="E348" s="163">
        <f t="shared" si="70"/>
        <v>21811498.506866701</v>
      </c>
      <c r="F348" s="162">
        <f t="shared" si="70"/>
        <v>6409.5999999999985</v>
      </c>
      <c r="G348" s="162">
        <f t="shared" si="70"/>
        <v>100.00000000000001</v>
      </c>
      <c r="H348" s="164">
        <f t="shared" si="70"/>
        <v>12265457.679007389</v>
      </c>
      <c r="I348" s="165">
        <f t="shared" si="70"/>
        <v>2730000</v>
      </c>
      <c r="J348" s="166">
        <f t="shared" si="70"/>
        <v>36806956.18587409</v>
      </c>
      <c r="K348" s="162">
        <f t="shared" si="70"/>
        <v>100</v>
      </c>
      <c r="L348" s="1"/>
      <c r="M348" s="1"/>
      <c r="N348" s="1"/>
      <c r="O348" s="1"/>
      <c r="P348" s="1"/>
      <c r="Q348" s="1"/>
      <c r="R348" s="1"/>
      <c r="S348" s="1"/>
    </row>
    <row r="349" spans="1:21" s="27" customFormat="1" x14ac:dyDescent="0.3">
      <c r="C349" s="26"/>
      <c r="D349" s="13"/>
      <c r="E349" s="643">
        <f>E348-C356</f>
        <v>0</v>
      </c>
      <c r="F349" s="36">
        <f>C348+F348</f>
        <v>16452.399999999998</v>
      </c>
      <c r="G349" s="120"/>
      <c r="H349" s="643">
        <f>H348-C359</f>
        <v>0</v>
      </c>
      <c r="I349" s="643">
        <f>I348-(C355+C358)</f>
        <v>0</v>
      </c>
      <c r="J349" s="643">
        <f>J348-C360</f>
        <v>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s="27" customFormat="1" ht="16.2" thickBot="1" x14ac:dyDescent="0.35">
      <c r="C350" s="26"/>
      <c r="D350" s="13"/>
      <c r="E350" s="26"/>
      <c r="F350" s="140"/>
      <c r="G350" s="120"/>
      <c r="H350" s="120"/>
      <c r="I350" s="120"/>
      <c r="J350" s="2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s="27" customFormat="1" ht="16.2" thickBot="1" x14ac:dyDescent="0.35">
      <c r="D351" s="609" t="s">
        <v>131</v>
      </c>
      <c r="E351" s="612">
        <f>E348/C348</f>
        <v>2171.8543142218009</v>
      </c>
      <c r="F351" s="611"/>
      <c r="G351" s="609" t="s">
        <v>132</v>
      </c>
      <c r="H351" s="612">
        <f>H348/F348</f>
        <v>1913.6073513179281</v>
      </c>
      <c r="I351" s="610"/>
      <c r="J351" s="2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s="27" customFormat="1" x14ac:dyDescent="0.3">
      <c r="D352" s="590"/>
      <c r="E352" s="591"/>
      <c r="F352" s="592"/>
      <c r="G352" s="590"/>
      <c r="H352" s="591"/>
      <c r="I352" s="592"/>
      <c r="J352" s="2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s="27" customFormat="1" ht="16.2" thickBot="1" x14ac:dyDescent="0.35">
      <c r="J353" s="2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s="27" customFormat="1" ht="16.2" thickBot="1" x14ac:dyDescent="0.35">
      <c r="A354" s="27" t="s">
        <v>338</v>
      </c>
      <c r="C354" s="545">
        <f>'1_Bc_Mag_DSP'!F6</f>
        <v>23491498.506866701</v>
      </c>
      <c r="E354" s="13"/>
      <c r="F354" s="120"/>
      <c r="G354" s="120"/>
      <c r="H354" s="13"/>
      <c r="I354" s="120"/>
      <c r="J354" s="2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s="27" customFormat="1" x14ac:dyDescent="0.3">
      <c r="A355" s="30" t="s">
        <v>955</v>
      </c>
      <c r="B355" s="30"/>
      <c r="C355" s="168">
        <f>'2_Projekty_BP_DP'!G9</f>
        <v>1680000</v>
      </c>
      <c r="E355" s="13"/>
      <c r="F355" s="120"/>
      <c r="G355" s="120"/>
      <c r="H355" s="13"/>
      <c r="I355" s="120"/>
      <c r="J355" s="2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s="27" customFormat="1" ht="16.2" thickBot="1" x14ac:dyDescent="0.35">
      <c r="A356" s="30" t="s">
        <v>339</v>
      </c>
      <c r="B356" s="30"/>
      <c r="C356" s="169">
        <f>C354-C355</f>
        <v>21811498.506866701</v>
      </c>
      <c r="E356" s="26"/>
      <c r="F356" s="120"/>
      <c r="G356" s="120"/>
      <c r="H356" s="170"/>
      <c r="I356" s="68"/>
      <c r="J356" s="21"/>
      <c r="L356" s="1"/>
      <c r="M356" s="1"/>
      <c r="N356" s="1"/>
      <c r="O356" s="1"/>
      <c r="P356" s="1"/>
      <c r="Q356" s="1"/>
      <c r="R356" s="1"/>
      <c r="S356" s="1"/>
    </row>
    <row r="357" spans="1:21" s="27" customFormat="1" ht="16.2" thickBot="1" x14ac:dyDescent="0.35">
      <c r="A357" s="27" t="s">
        <v>340</v>
      </c>
      <c r="C357" s="545">
        <f>'1_Bc_Mag_DSP'!F7</f>
        <v>13315457.679007387</v>
      </c>
      <c r="D357" s="127" t="s">
        <v>195</v>
      </c>
      <c r="E357" s="26"/>
      <c r="F357" s="120"/>
      <c r="G357" s="120"/>
      <c r="H357" s="120"/>
      <c r="I357" s="120"/>
      <c r="J357" s="21"/>
      <c r="L357" s="1"/>
      <c r="M357" s="1"/>
      <c r="N357" s="1"/>
      <c r="O357" s="1"/>
      <c r="P357" s="1"/>
      <c r="Q357" s="1"/>
      <c r="R357" s="1"/>
      <c r="S357" s="1"/>
    </row>
    <row r="358" spans="1:21" s="27" customFormat="1" x14ac:dyDescent="0.3">
      <c r="A358" s="30" t="s">
        <v>341</v>
      </c>
      <c r="B358" s="30"/>
      <c r="C358" s="168">
        <f>'2_Projekty_BP_DP'!G10</f>
        <v>1050000</v>
      </c>
      <c r="D358" s="607">
        <f>C355+C358</f>
        <v>2730000</v>
      </c>
      <c r="E358" s="26"/>
      <c r="F358" s="120"/>
      <c r="G358" s="120"/>
      <c r="I358" s="120"/>
      <c r="J358" s="21"/>
      <c r="M358" s="22"/>
    </row>
    <row r="359" spans="1:21" s="27" customFormat="1" ht="16.2" thickBot="1" x14ac:dyDescent="0.35">
      <c r="A359" s="30" t="s">
        <v>342</v>
      </c>
      <c r="B359" s="30"/>
      <c r="C359" s="608">
        <f>C357-C358</f>
        <v>12265457.679007387</v>
      </c>
      <c r="D359" s="609" t="s">
        <v>297</v>
      </c>
      <c r="E359" s="26"/>
      <c r="F359" s="120"/>
      <c r="G359" s="120"/>
      <c r="H359" s="120"/>
      <c r="I359" s="120"/>
      <c r="J359" s="21"/>
      <c r="M359" s="22"/>
    </row>
    <row r="360" spans="1:21" s="27" customFormat="1" ht="16.2" thickBot="1" x14ac:dyDescent="0.35">
      <c r="A360" s="19" t="s">
        <v>461</v>
      </c>
      <c r="B360" s="19"/>
      <c r="C360" s="166">
        <f>C357+C354</f>
        <v>36806956.18587409</v>
      </c>
      <c r="D360" s="618">
        <f>'1_Bc_Mag_DSP'!F6+'1_Bc_Mag_DSP'!F7</f>
        <v>36806956.18587409</v>
      </c>
      <c r="E360" s="26"/>
      <c r="F360" s="120"/>
      <c r="G360" s="120"/>
      <c r="H360" s="120"/>
      <c r="I360" s="120"/>
      <c r="J360" s="21"/>
      <c r="M360" s="22"/>
    </row>
    <row r="361" spans="1:21" s="42" customFormat="1" x14ac:dyDescent="0.3">
      <c r="D361" s="103"/>
      <c r="E361" s="38"/>
      <c r="F361" s="102"/>
      <c r="G361" s="102"/>
      <c r="H361" s="102"/>
      <c r="I361" s="102"/>
      <c r="J361" s="21"/>
      <c r="M361" s="147"/>
    </row>
    <row r="362" spans="1:21" s="42" customFormat="1" x14ac:dyDescent="0.3">
      <c r="J362" s="21"/>
    </row>
    <row r="363" spans="1:21" s="42" customFormat="1" x14ac:dyDescent="0.3">
      <c r="J363" s="21"/>
    </row>
    <row r="364" spans="1:21" s="42" customFormat="1" x14ac:dyDescent="0.3">
      <c r="A364" s="51"/>
      <c r="B364" s="51"/>
      <c r="D364" s="51"/>
      <c r="E364" s="51"/>
      <c r="F364" s="51"/>
      <c r="G364" s="51"/>
      <c r="J364" s="21"/>
    </row>
    <row r="365" spans="1:21" s="42" customFormat="1" x14ac:dyDescent="0.3">
      <c r="A365" s="43"/>
      <c r="B365" s="43"/>
      <c r="C365" s="712"/>
      <c r="D365" s="615"/>
      <c r="E365" s="104"/>
      <c r="F365" s="712"/>
      <c r="G365" s="615"/>
      <c r="H365" s="104"/>
      <c r="I365" s="104"/>
      <c r="J365" s="104"/>
      <c r="K365" s="361"/>
    </row>
    <row r="366" spans="1:21" s="42" customFormat="1" x14ac:dyDescent="0.3">
      <c r="A366" s="43"/>
      <c r="B366" s="43"/>
      <c r="C366" s="712"/>
      <c r="D366" s="711"/>
      <c r="E366" s="104"/>
      <c r="F366" s="712"/>
      <c r="G366" s="615"/>
      <c r="H366" s="104"/>
      <c r="I366" s="104"/>
      <c r="J366" s="104"/>
      <c r="K366" s="361"/>
    </row>
    <row r="367" spans="1:21" s="42" customFormat="1" x14ac:dyDescent="0.3">
      <c r="A367" s="43"/>
      <c r="B367" s="43"/>
      <c r="C367" s="712"/>
      <c r="D367" s="711"/>
      <c r="E367" s="104"/>
      <c r="F367" s="712"/>
      <c r="G367" s="711"/>
      <c r="H367" s="104"/>
      <c r="I367" s="104"/>
      <c r="J367" s="104"/>
      <c r="K367" s="361"/>
    </row>
    <row r="368" spans="1:21" s="42" customFormat="1" x14ac:dyDescent="0.3">
      <c r="C368" s="28"/>
      <c r="D368" s="711"/>
      <c r="E368" s="617"/>
      <c r="F368" s="28"/>
      <c r="G368" s="711"/>
      <c r="H368" s="608"/>
      <c r="I368" s="607"/>
      <c r="J368" s="616"/>
      <c r="K368" s="361"/>
    </row>
    <row r="369" spans="1:11" s="42" customFormat="1" x14ac:dyDescent="0.3">
      <c r="C369" s="28"/>
      <c r="D369" s="711"/>
      <c r="E369" s="617"/>
      <c r="F369" s="28"/>
      <c r="G369" s="711"/>
      <c r="H369" s="608"/>
      <c r="I369" s="607"/>
      <c r="J369" s="616"/>
      <c r="K369" s="361"/>
    </row>
    <row r="370" spans="1:11" s="42" customFormat="1" x14ac:dyDescent="0.3">
      <c r="A370" s="51"/>
      <c r="B370" s="51"/>
      <c r="D370" s="51"/>
      <c r="E370" s="51"/>
      <c r="F370" s="51"/>
      <c r="G370" s="51"/>
      <c r="J370" s="21"/>
    </row>
    <row r="371" spans="1:11" s="42" customFormat="1" x14ac:dyDescent="0.3">
      <c r="A371" s="43"/>
      <c r="B371" s="43"/>
      <c r="C371" s="712"/>
      <c r="D371" s="615"/>
      <c r="E371" s="104"/>
      <c r="F371" s="712"/>
      <c r="G371" s="615"/>
      <c r="H371" s="104"/>
      <c r="I371" s="104"/>
      <c r="J371" s="104"/>
      <c r="K371" s="361"/>
    </row>
    <row r="372" spans="1:11" s="42" customFormat="1" x14ac:dyDescent="0.3">
      <c r="A372" s="43"/>
      <c r="B372" s="43"/>
      <c r="C372" s="712"/>
      <c r="D372" s="711"/>
      <c r="E372" s="104"/>
      <c r="F372" s="712"/>
      <c r="G372" s="615"/>
      <c r="H372" s="104"/>
      <c r="I372" s="104"/>
      <c r="J372" s="104"/>
      <c r="K372" s="361"/>
    </row>
    <row r="373" spans="1:11" s="42" customFormat="1" x14ac:dyDescent="0.3">
      <c r="A373" s="43"/>
      <c r="B373" s="43"/>
      <c r="C373" s="712"/>
      <c r="D373" s="711"/>
      <c r="E373" s="104"/>
      <c r="F373" s="712"/>
      <c r="G373" s="711"/>
      <c r="H373" s="104"/>
      <c r="I373" s="104"/>
      <c r="J373" s="104"/>
      <c r="K373" s="361"/>
    </row>
    <row r="374" spans="1:11" s="42" customFormat="1" x14ac:dyDescent="0.3">
      <c r="C374" s="712"/>
      <c r="D374" s="711"/>
      <c r="E374" s="104"/>
      <c r="F374" s="28"/>
      <c r="G374" s="711"/>
      <c r="H374" s="608"/>
      <c r="I374" s="607"/>
      <c r="J374" s="616"/>
      <c r="K374" s="361"/>
    </row>
    <row r="375" spans="1:11" s="42" customFormat="1" x14ac:dyDescent="0.3">
      <c r="J375" s="21"/>
    </row>
    <row r="376" spans="1:11" s="42" customFormat="1" x14ac:dyDescent="0.3">
      <c r="A376" s="51"/>
      <c r="B376" s="51"/>
      <c r="D376" s="51"/>
      <c r="G376" s="51"/>
      <c r="J376" s="21"/>
    </row>
    <row r="377" spans="1:11" s="42" customFormat="1" x14ac:dyDescent="0.3">
      <c r="A377" s="43"/>
      <c r="B377" s="43"/>
      <c r="C377" s="712"/>
      <c r="D377" s="713"/>
      <c r="E377" s="104"/>
      <c r="F377" s="712"/>
      <c r="G377" s="711"/>
      <c r="H377" s="104"/>
      <c r="I377" s="104"/>
      <c r="J377" s="104"/>
      <c r="K377" s="361"/>
    </row>
    <row r="378" spans="1:11" s="42" customFormat="1" x14ac:dyDescent="0.3">
      <c r="A378" s="43"/>
      <c r="B378" s="43"/>
      <c r="C378" s="712"/>
      <c r="D378" s="361"/>
      <c r="E378" s="104"/>
      <c r="F378" s="712"/>
      <c r="G378" s="711"/>
      <c r="H378" s="104"/>
      <c r="I378" s="104"/>
      <c r="J378" s="104"/>
      <c r="K378" s="361"/>
    </row>
    <row r="379" spans="1:11" s="42" customFormat="1" x14ac:dyDescent="0.3">
      <c r="A379" s="43"/>
      <c r="B379" s="43"/>
      <c r="C379" s="712"/>
      <c r="D379" s="361"/>
      <c r="E379" s="104"/>
      <c r="F379" s="712"/>
      <c r="G379" s="711"/>
      <c r="H379" s="104"/>
      <c r="I379" s="104"/>
      <c r="J379" s="104"/>
      <c r="K379" s="361"/>
    </row>
    <row r="380" spans="1:11" s="42" customFormat="1" x14ac:dyDescent="0.3">
      <c r="C380" s="28"/>
      <c r="D380" s="711"/>
      <c r="E380" s="617"/>
      <c r="F380" s="28"/>
      <c r="G380" s="711"/>
      <c r="H380" s="608"/>
      <c r="I380" s="607"/>
      <c r="J380" s="714"/>
      <c r="K380" s="711"/>
    </row>
    <row r="381" spans="1:11" s="42" customFormat="1" x14ac:dyDescent="0.3">
      <c r="J381" s="21"/>
    </row>
    <row r="382" spans="1:11" s="42" customFormat="1" x14ac:dyDescent="0.3">
      <c r="A382" s="51"/>
      <c r="B382" s="51"/>
      <c r="D382" s="51"/>
      <c r="G382" s="51"/>
      <c r="J382" s="21"/>
    </row>
    <row r="383" spans="1:11" s="42" customFormat="1" x14ac:dyDescent="0.3">
      <c r="A383" s="43"/>
      <c r="B383" s="43"/>
      <c r="C383" s="712"/>
      <c r="D383" s="713"/>
      <c r="E383" s="104"/>
      <c r="F383" s="712"/>
      <c r="G383" s="711"/>
      <c r="H383" s="28"/>
      <c r="I383" s="104"/>
      <c r="J383" s="104"/>
      <c r="K383" s="361"/>
    </row>
    <row r="384" spans="1:11" s="42" customFormat="1" x14ac:dyDescent="0.3">
      <c r="A384" s="43"/>
      <c r="B384" s="43"/>
      <c r="C384" s="712"/>
      <c r="D384" s="361"/>
      <c r="E384" s="104"/>
      <c r="F384" s="712"/>
      <c r="G384" s="711"/>
      <c r="H384" s="28"/>
      <c r="I384" s="104"/>
      <c r="J384" s="104"/>
      <c r="K384" s="361"/>
    </row>
    <row r="385" spans="1:11" s="42" customFormat="1" x14ac:dyDescent="0.3">
      <c r="A385" s="43"/>
      <c r="B385" s="43"/>
      <c r="C385" s="712"/>
      <c r="D385" s="361"/>
      <c r="E385" s="104"/>
      <c r="F385" s="712"/>
      <c r="G385" s="711"/>
      <c r="H385" s="28"/>
      <c r="I385" s="104"/>
      <c r="J385" s="104"/>
      <c r="K385" s="361"/>
    </row>
    <row r="386" spans="1:11" s="42" customFormat="1" x14ac:dyDescent="0.3">
      <c r="C386" s="28"/>
      <c r="D386" s="711"/>
      <c r="E386" s="617"/>
      <c r="F386" s="28"/>
      <c r="G386" s="711"/>
      <c r="H386" s="608"/>
      <c r="I386" s="607"/>
      <c r="J386" s="714"/>
      <c r="K386" s="711"/>
    </row>
    <row r="387" spans="1:11" s="42" customFormat="1" x14ac:dyDescent="0.3"/>
    <row r="388" spans="1:11" s="42" customFormat="1" x14ac:dyDescent="0.3">
      <c r="J388" s="21"/>
    </row>
  </sheetData>
  <phoneticPr fontId="0" type="noConversion"/>
  <conditionalFormatting sqref="B7:B9">
    <cfRule type="cellIs" dxfId="1" priority="2" stopIfTrue="1" operator="between">
      <formula>1</formula>
      <formula>2</formula>
    </cfRule>
  </conditionalFormatting>
  <conditionalFormatting sqref="B33">
    <cfRule type="cellIs" dxfId="0" priority="1" stopIfTrue="1" operator="between">
      <formula>1</formula>
      <formula>2</formula>
    </cfRule>
  </conditionalFormatting>
  <printOptions gridLines="1"/>
  <pageMargins left="0" right="0" top="1.1811023622047245" bottom="0.19685039370078741" header="0.78740157480314965" footer="0.51181102362204722"/>
  <pageSetup paperSize="9" scale="87" fitToHeight="9" orientation="landscape" r:id="rId1"/>
  <headerFooter alignWithMargins="0">
    <oddHeader>&amp;L&amp;Z&amp;F&amp;R&amp;"times,Roman"List: 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67"/>
  <sheetViews>
    <sheetView topLeftCell="D39" workbookViewId="0">
      <selection activeCell="F65" sqref="F65"/>
    </sheetView>
  </sheetViews>
  <sheetFormatPr defaultColWidth="9.109375" defaultRowHeight="15.6" x14ac:dyDescent="0.3"/>
  <cols>
    <col min="1" max="1" width="3.88671875" style="1" bestFit="1" customWidth="1"/>
    <col min="2" max="2" width="22.44140625" style="1" bestFit="1" customWidth="1"/>
    <col min="3" max="3" width="44.44140625" style="1" bestFit="1" customWidth="1"/>
    <col min="4" max="4" width="32.44140625" style="1" customWidth="1"/>
    <col min="5" max="5" width="33.33203125" style="1" bestFit="1" customWidth="1"/>
    <col min="6" max="6" width="12.33203125" style="1" bestFit="1" customWidth="1"/>
    <col min="7" max="7" width="6.6640625" style="1" bestFit="1" customWidth="1"/>
    <col min="8" max="8" width="13" style="1" customWidth="1"/>
    <col min="9" max="9" width="22.44140625" style="1" bestFit="1" customWidth="1"/>
    <col min="10" max="10" width="33.33203125" style="1" bestFit="1" customWidth="1"/>
    <col min="11" max="11" width="7.109375" style="1" customWidth="1"/>
    <col min="12" max="12" width="11.109375" style="1" customWidth="1"/>
    <col min="13" max="13" width="5" style="3" bestFit="1" customWidth="1"/>
    <col min="14" max="14" width="17.33203125" style="1" customWidth="1"/>
    <col min="15" max="15" width="25.88671875" style="1" bestFit="1" customWidth="1"/>
    <col min="16" max="16" width="14.5546875" style="1" customWidth="1"/>
    <col min="17" max="16384" width="9.109375" style="1"/>
  </cols>
  <sheetData>
    <row r="1" spans="1:16" s="2" customFormat="1" x14ac:dyDescent="0.3">
      <c r="A1" s="452" t="s">
        <v>380</v>
      </c>
      <c r="B1" s="452" t="s">
        <v>381</v>
      </c>
      <c r="C1" s="452" t="s">
        <v>382</v>
      </c>
      <c r="D1" s="452" t="s">
        <v>167</v>
      </c>
      <c r="E1" s="452" t="s">
        <v>383</v>
      </c>
      <c r="F1" s="452" t="s">
        <v>424</v>
      </c>
      <c r="G1" s="452" t="s">
        <v>425</v>
      </c>
      <c r="H1" s="452" t="s">
        <v>384</v>
      </c>
      <c r="I1" s="452" t="s">
        <v>385</v>
      </c>
      <c r="J1" s="452" t="s">
        <v>386</v>
      </c>
      <c r="K1" s="452" t="s">
        <v>428</v>
      </c>
      <c r="L1" s="452" t="s">
        <v>429</v>
      </c>
      <c r="M1" s="731" t="s">
        <v>430</v>
      </c>
      <c r="N1" s="452" t="s">
        <v>431</v>
      </c>
      <c r="O1" s="452" t="s">
        <v>297</v>
      </c>
      <c r="P1" s="2" t="s">
        <v>458</v>
      </c>
    </row>
    <row r="2" spans="1:16" ht="16.2" customHeight="1" x14ac:dyDescent="0.3">
      <c r="A2" s="451" t="s">
        <v>124</v>
      </c>
      <c r="B2" s="451" t="s">
        <v>387</v>
      </c>
      <c r="C2" s="451" t="s">
        <v>388</v>
      </c>
      <c r="D2" s="451"/>
      <c r="E2" s="451"/>
      <c r="F2" s="451" t="s">
        <v>170</v>
      </c>
      <c r="G2" s="451" t="s">
        <v>389</v>
      </c>
      <c r="H2" s="725">
        <v>44120</v>
      </c>
      <c r="I2" s="913">
        <v>47772</v>
      </c>
      <c r="J2" s="451" t="s">
        <v>390</v>
      </c>
      <c r="K2" s="451" t="s">
        <v>1</v>
      </c>
      <c r="L2" s="451">
        <f>COUNTIF($J$2:$J$39,J2)</f>
        <v>1</v>
      </c>
      <c r="M2" s="674" t="s">
        <v>16</v>
      </c>
      <c r="N2" s="451">
        <f>IF(M2="A",2000,0)</f>
        <v>2000</v>
      </c>
      <c r="O2" s="723" t="str">
        <f t="shared" ref="O2:O17" si="0">IF(SUMIF($J$2:$J$35,J2,$N$2:$N$35)=0,"!!","")</f>
        <v/>
      </c>
      <c r="P2" s="1">
        <f>SUMIF($J$2:$J$36,J2,$N$2:$N$36)</f>
        <v>2000</v>
      </c>
    </row>
    <row r="3" spans="1:16" ht="16.2" customHeight="1" x14ac:dyDescent="0.3">
      <c r="A3" s="451" t="s">
        <v>124</v>
      </c>
      <c r="B3" s="451" t="s">
        <v>387</v>
      </c>
      <c r="C3" s="451" t="s">
        <v>391</v>
      </c>
      <c r="D3" s="451"/>
      <c r="E3" s="451"/>
      <c r="F3" s="451" t="s">
        <v>170</v>
      </c>
      <c r="G3" s="451" t="s">
        <v>389</v>
      </c>
      <c r="H3" s="725">
        <v>43328</v>
      </c>
      <c r="I3" s="913">
        <v>46981</v>
      </c>
      <c r="J3" s="451" t="s">
        <v>392</v>
      </c>
      <c r="K3" s="451" t="s">
        <v>3</v>
      </c>
      <c r="L3" s="451">
        <f t="shared" ref="L3:L15" si="1">COUNTIF($J$2:$J$35,J3)</f>
        <v>2</v>
      </c>
      <c r="M3" s="674" t="s">
        <v>16</v>
      </c>
      <c r="N3" s="451">
        <f t="shared" ref="N3:N34" si="2">IF(M3="A",2000,0)</f>
        <v>2000</v>
      </c>
      <c r="O3" s="732" t="str">
        <f t="shared" si="0"/>
        <v/>
      </c>
      <c r="P3" s="1">
        <f t="shared" ref="P3:P35" si="3">SUMIF($J$2:$J$36,J3,$N$2:$N$36)</f>
        <v>2000</v>
      </c>
    </row>
    <row r="4" spans="1:16" ht="16.2" customHeight="1" x14ac:dyDescent="0.3">
      <c r="A4" s="451" t="s">
        <v>124</v>
      </c>
      <c r="B4" s="451" t="s">
        <v>387</v>
      </c>
      <c r="C4" s="451" t="s">
        <v>393</v>
      </c>
      <c r="D4" s="451"/>
      <c r="E4" s="451"/>
      <c r="F4" s="451" t="s">
        <v>170</v>
      </c>
      <c r="G4" s="451" t="s">
        <v>389</v>
      </c>
      <c r="H4" s="725">
        <v>43328</v>
      </c>
      <c r="I4" s="913">
        <v>46981</v>
      </c>
      <c r="J4" s="451" t="s">
        <v>394</v>
      </c>
      <c r="K4" s="451" t="s">
        <v>2</v>
      </c>
      <c r="L4" s="451">
        <f t="shared" si="1"/>
        <v>1</v>
      </c>
      <c r="M4" s="674" t="s">
        <v>16</v>
      </c>
      <c r="N4" s="451">
        <f t="shared" si="2"/>
        <v>2000</v>
      </c>
      <c r="O4" s="732" t="str">
        <f t="shared" si="0"/>
        <v/>
      </c>
      <c r="P4" s="1">
        <f t="shared" si="3"/>
        <v>2000</v>
      </c>
    </row>
    <row r="5" spans="1:16" ht="16.2" customHeight="1" x14ac:dyDescent="0.3">
      <c r="A5" s="451" t="s">
        <v>124</v>
      </c>
      <c r="B5" s="451" t="s">
        <v>387</v>
      </c>
      <c r="C5" s="451" t="s">
        <v>395</v>
      </c>
      <c r="D5" s="451"/>
      <c r="E5" s="451"/>
      <c r="F5" s="451" t="s">
        <v>170</v>
      </c>
      <c r="G5" s="451" t="s">
        <v>389</v>
      </c>
      <c r="H5" s="725">
        <v>43386</v>
      </c>
      <c r="I5" s="913">
        <v>47039</v>
      </c>
      <c r="J5" s="451" t="s">
        <v>396</v>
      </c>
      <c r="K5" s="451" t="s">
        <v>427</v>
      </c>
      <c r="L5" s="451">
        <f t="shared" si="1"/>
        <v>3</v>
      </c>
      <c r="M5" s="674" t="s">
        <v>16</v>
      </c>
      <c r="N5" s="451">
        <f t="shared" si="2"/>
        <v>2000</v>
      </c>
      <c r="O5" s="732" t="str">
        <f t="shared" si="0"/>
        <v/>
      </c>
      <c r="P5" s="1">
        <f t="shared" si="3"/>
        <v>2000</v>
      </c>
    </row>
    <row r="6" spans="1:16" ht="16.2" customHeight="1" x14ac:dyDescent="0.3">
      <c r="A6" s="451" t="s">
        <v>124</v>
      </c>
      <c r="B6" s="451" t="s">
        <v>397</v>
      </c>
      <c r="C6" s="451" t="s">
        <v>398</v>
      </c>
      <c r="D6" s="451"/>
      <c r="E6" s="451"/>
      <c r="F6" s="451" t="s">
        <v>170</v>
      </c>
      <c r="G6" s="451" t="s">
        <v>399</v>
      </c>
      <c r="H6" s="725">
        <v>44120</v>
      </c>
      <c r="I6" s="913">
        <v>47772</v>
      </c>
      <c r="J6" s="451" t="s">
        <v>400</v>
      </c>
      <c r="K6" s="451" t="s">
        <v>1</v>
      </c>
      <c r="L6" s="451">
        <f t="shared" si="1"/>
        <v>5</v>
      </c>
      <c r="M6" s="674" t="s">
        <v>16</v>
      </c>
      <c r="N6" s="451">
        <f t="shared" si="2"/>
        <v>2000</v>
      </c>
      <c r="O6" s="732" t="str">
        <f t="shared" si="0"/>
        <v/>
      </c>
      <c r="P6" s="1">
        <f t="shared" si="3"/>
        <v>2000</v>
      </c>
    </row>
    <row r="7" spans="1:16" ht="16.2" customHeight="1" x14ac:dyDescent="0.3">
      <c r="A7" s="451" t="s">
        <v>124</v>
      </c>
      <c r="B7" s="451" t="s">
        <v>397</v>
      </c>
      <c r="C7" s="451" t="s">
        <v>401</v>
      </c>
      <c r="D7" s="451"/>
      <c r="E7" s="451"/>
      <c r="F7" s="451" t="s">
        <v>170</v>
      </c>
      <c r="G7" s="451" t="s">
        <v>399</v>
      </c>
      <c r="H7" s="725">
        <v>44049</v>
      </c>
      <c r="I7" s="913">
        <v>45875</v>
      </c>
      <c r="J7" s="451" t="s">
        <v>402</v>
      </c>
      <c r="K7" s="451" t="s">
        <v>1</v>
      </c>
      <c r="L7" s="451">
        <f t="shared" si="1"/>
        <v>3</v>
      </c>
      <c r="M7" s="674" t="s">
        <v>16</v>
      </c>
      <c r="N7" s="451">
        <f t="shared" si="2"/>
        <v>2000</v>
      </c>
      <c r="O7" s="732" t="str">
        <f t="shared" si="0"/>
        <v/>
      </c>
      <c r="P7" s="1">
        <f t="shared" si="3"/>
        <v>2000</v>
      </c>
    </row>
    <row r="8" spans="1:16" ht="16.2" customHeight="1" x14ac:dyDescent="0.3">
      <c r="A8" s="451" t="s">
        <v>124</v>
      </c>
      <c r="B8" s="451" t="s">
        <v>397</v>
      </c>
      <c r="C8" s="451" t="s">
        <v>403</v>
      </c>
      <c r="D8" s="451"/>
      <c r="E8" s="451"/>
      <c r="F8" s="451" t="s">
        <v>170</v>
      </c>
      <c r="G8" s="451" t="s">
        <v>399</v>
      </c>
      <c r="H8" s="725">
        <v>44049</v>
      </c>
      <c r="I8" s="913">
        <v>45875</v>
      </c>
      <c r="J8" s="451" t="s">
        <v>402</v>
      </c>
      <c r="K8" s="451" t="s">
        <v>1</v>
      </c>
      <c r="L8" s="451">
        <f t="shared" si="1"/>
        <v>3</v>
      </c>
      <c r="M8" s="674" t="s">
        <v>124</v>
      </c>
      <c r="N8" s="451">
        <f t="shared" si="2"/>
        <v>0</v>
      </c>
      <c r="O8" s="732" t="str">
        <f t="shared" si="0"/>
        <v/>
      </c>
      <c r="P8" s="1">
        <f t="shared" si="3"/>
        <v>2000</v>
      </c>
    </row>
    <row r="9" spans="1:16" ht="16.2" customHeight="1" x14ac:dyDescent="0.3">
      <c r="A9" s="451" t="s">
        <v>124</v>
      </c>
      <c r="B9" s="451" t="s">
        <v>397</v>
      </c>
      <c r="C9" s="451" t="s">
        <v>404</v>
      </c>
      <c r="D9" s="451"/>
      <c r="E9" s="451"/>
      <c r="F9" s="451" t="s">
        <v>170</v>
      </c>
      <c r="G9" s="451" t="s">
        <v>399</v>
      </c>
      <c r="H9" s="725">
        <v>44028</v>
      </c>
      <c r="I9" s="913">
        <v>47680</v>
      </c>
      <c r="J9" s="451" t="s">
        <v>405</v>
      </c>
      <c r="K9" s="451" t="s">
        <v>2</v>
      </c>
      <c r="L9" s="451">
        <f t="shared" si="1"/>
        <v>5</v>
      </c>
      <c r="M9" s="674" t="s">
        <v>16</v>
      </c>
      <c r="N9" s="451">
        <f t="shared" si="2"/>
        <v>2000</v>
      </c>
      <c r="O9" s="732" t="str">
        <f t="shared" si="0"/>
        <v/>
      </c>
      <c r="P9" s="1">
        <f t="shared" si="3"/>
        <v>2000</v>
      </c>
    </row>
    <row r="10" spans="1:16" ht="16.2" customHeight="1" x14ac:dyDescent="0.3">
      <c r="A10" s="451" t="s">
        <v>124</v>
      </c>
      <c r="B10" s="451" t="s">
        <v>397</v>
      </c>
      <c r="C10" s="451" t="s">
        <v>406</v>
      </c>
      <c r="D10" s="451"/>
      <c r="E10" s="451"/>
      <c r="F10" s="451" t="s">
        <v>170</v>
      </c>
      <c r="G10" s="451" t="s">
        <v>399</v>
      </c>
      <c r="H10" s="725">
        <v>43462</v>
      </c>
      <c r="I10" s="913">
        <v>47115</v>
      </c>
      <c r="J10" s="451" t="s">
        <v>405</v>
      </c>
      <c r="K10" s="451" t="s">
        <v>2</v>
      </c>
      <c r="L10" s="451">
        <f t="shared" si="1"/>
        <v>5</v>
      </c>
      <c r="M10" s="674" t="s">
        <v>124</v>
      </c>
      <c r="N10" s="451">
        <f t="shared" si="2"/>
        <v>0</v>
      </c>
      <c r="O10" s="732" t="str">
        <f t="shared" si="0"/>
        <v/>
      </c>
      <c r="P10" s="1">
        <f t="shared" si="3"/>
        <v>2000</v>
      </c>
    </row>
    <row r="11" spans="1:16" ht="16.2" customHeight="1" x14ac:dyDescent="0.3">
      <c r="A11" s="451" t="s">
        <v>124</v>
      </c>
      <c r="B11" s="451" t="s">
        <v>397</v>
      </c>
      <c r="C11" s="451" t="s">
        <v>407</v>
      </c>
      <c r="D11" s="451"/>
      <c r="E11" s="451"/>
      <c r="F11" s="451" t="s">
        <v>170</v>
      </c>
      <c r="G11" s="451" t="s">
        <v>399</v>
      </c>
      <c r="H11" s="725">
        <v>43386</v>
      </c>
      <c r="I11" s="913">
        <v>47039</v>
      </c>
      <c r="J11" s="451" t="s">
        <v>396</v>
      </c>
      <c r="K11" s="451" t="s">
        <v>427</v>
      </c>
      <c r="L11" s="451">
        <f t="shared" si="1"/>
        <v>3</v>
      </c>
      <c r="M11" s="674" t="s">
        <v>124</v>
      </c>
      <c r="N11" s="451">
        <f t="shared" si="2"/>
        <v>0</v>
      </c>
      <c r="O11" s="732" t="str">
        <f t="shared" si="0"/>
        <v/>
      </c>
      <c r="P11" s="1">
        <f t="shared" si="3"/>
        <v>2000</v>
      </c>
    </row>
    <row r="12" spans="1:16" ht="16.2" customHeight="1" x14ac:dyDescent="0.3">
      <c r="A12" s="451" t="s">
        <v>124</v>
      </c>
      <c r="B12" s="451" t="s">
        <v>408</v>
      </c>
      <c r="C12" s="451" t="s">
        <v>409</v>
      </c>
      <c r="D12" s="451"/>
      <c r="E12" s="451"/>
      <c r="F12" s="451" t="s">
        <v>188</v>
      </c>
      <c r="G12" s="451" t="s">
        <v>410</v>
      </c>
      <c r="H12" s="725">
        <v>43963</v>
      </c>
      <c r="I12" s="913">
        <v>47615</v>
      </c>
      <c r="J12" s="451" t="s">
        <v>400</v>
      </c>
      <c r="K12" s="451" t="s">
        <v>1</v>
      </c>
      <c r="L12" s="451">
        <f t="shared" si="1"/>
        <v>5</v>
      </c>
      <c r="M12" s="674" t="s">
        <v>124</v>
      </c>
      <c r="N12" s="451">
        <f t="shared" si="2"/>
        <v>0</v>
      </c>
      <c r="O12" s="732" t="str">
        <f t="shared" si="0"/>
        <v/>
      </c>
      <c r="P12" s="1">
        <f t="shared" si="3"/>
        <v>2000</v>
      </c>
    </row>
    <row r="13" spans="1:16" ht="16.2" customHeight="1" x14ac:dyDescent="0.3">
      <c r="A13" s="451" t="s">
        <v>124</v>
      </c>
      <c r="B13" s="451" t="s">
        <v>408</v>
      </c>
      <c r="C13" s="451" t="s">
        <v>411</v>
      </c>
      <c r="D13" s="451"/>
      <c r="E13" s="451"/>
      <c r="F13" s="451" t="s">
        <v>188</v>
      </c>
      <c r="G13" s="451" t="s">
        <v>410</v>
      </c>
      <c r="H13" s="725">
        <v>43963</v>
      </c>
      <c r="I13" s="913">
        <v>47615</v>
      </c>
      <c r="J13" s="451" t="s">
        <v>400</v>
      </c>
      <c r="K13" s="451" t="s">
        <v>1</v>
      </c>
      <c r="L13" s="451">
        <f t="shared" si="1"/>
        <v>5</v>
      </c>
      <c r="M13" s="674" t="s">
        <v>124</v>
      </c>
      <c r="N13" s="451">
        <f t="shared" si="2"/>
        <v>0</v>
      </c>
      <c r="O13" s="732" t="str">
        <f t="shared" si="0"/>
        <v/>
      </c>
      <c r="P13" s="1">
        <f t="shared" si="3"/>
        <v>2000</v>
      </c>
    </row>
    <row r="14" spans="1:16" ht="16.2" customHeight="1" x14ac:dyDescent="0.3">
      <c r="A14" s="451" t="s">
        <v>124</v>
      </c>
      <c r="B14" s="451" t="s">
        <v>408</v>
      </c>
      <c r="C14" s="451" t="s">
        <v>412</v>
      </c>
      <c r="D14" s="451"/>
      <c r="E14" s="451"/>
      <c r="F14" s="451" t="s">
        <v>188</v>
      </c>
      <c r="G14" s="451" t="s">
        <v>410</v>
      </c>
      <c r="H14" s="725">
        <v>43690</v>
      </c>
      <c r="I14" s="913">
        <v>47343</v>
      </c>
      <c r="J14" s="451" t="s">
        <v>413</v>
      </c>
      <c r="K14" s="451" t="s">
        <v>3</v>
      </c>
      <c r="L14" s="451">
        <f t="shared" si="1"/>
        <v>3</v>
      </c>
      <c r="M14" s="674" t="s">
        <v>16</v>
      </c>
      <c r="N14" s="451">
        <f t="shared" si="2"/>
        <v>2000</v>
      </c>
      <c r="O14" s="760" t="str">
        <f t="shared" si="0"/>
        <v/>
      </c>
      <c r="P14" s="1">
        <f t="shared" si="3"/>
        <v>2000</v>
      </c>
    </row>
    <row r="15" spans="1:16" ht="16.2" customHeight="1" x14ac:dyDescent="0.3">
      <c r="A15" s="451" t="s">
        <v>124</v>
      </c>
      <c r="B15" s="451" t="s">
        <v>408</v>
      </c>
      <c r="C15" s="451" t="s">
        <v>414</v>
      </c>
      <c r="D15" s="451"/>
      <c r="E15" s="451"/>
      <c r="F15" s="451" t="s">
        <v>188</v>
      </c>
      <c r="G15" s="451" t="s">
        <v>410</v>
      </c>
      <c r="H15" s="725">
        <v>43690</v>
      </c>
      <c r="I15" s="913">
        <v>47343</v>
      </c>
      <c r="J15" s="451" t="s">
        <v>413</v>
      </c>
      <c r="K15" s="451" t="s">
        <v>3</v>
      </c>
      <c r="L15" s="451">
        <f t="shared" si="1"/>
        <v>3</v>
      </c>
      <c r="M15" s="674" t="s">
        <v>124</v>
      </c>
      <c r="N15" s="451">
        <f t="shared" si="2"/>
        <v>0</v>
      </c>
      <c r="O15" s="760" t="str">
        <f t="shared" si="0"/>
        <v/>
      </c>
      <c r="P15" s="1">
        <f t="shared" si="3"/>
        <v>2000</v>
      </c>
    </row>
    <row r="16" spans="1:16" ht="16.2" customHeight="1" x14ac:dyDescent="0.3">
      <c r="A16" s="451" t="s">
        <v>124</v>
      </c>
      <c r="B16" s="451" t="s">
        <v>408</v>
      </c>
      <c r="C16" s="451" t="s">
        <v>469</v>
      </c>
      <c r="D16" s="763"/>
      <c r="E16" s="763"/>
      <c r="F16" s="763" t="s">
        <v>188</v>
      </c>
      <c r="G16" s="763" t="s">
        <v>410</v>
      </c>
      <c r="H16" s="764">
        <v>44243</v>
      </c>
      <c r="I16" s="913">
        <v>46085</v>
      </c>
      <c r="J16" s="451" t="s">
        <v>421</v>
      </c>
      <c r="K16" s="451" t="s">
        <v>1</v>
      </c>
      <c r="L16" s="451">
        <f>COUNTIF($J$2:$J$35,J16)</f>
        <v>3</v>
      </c>
      <c r="M16" s="674" t="s">
        <v>16</v>
      </c>
      <c r="N16" s="451">
        <f t="shared" si="2"/>
        <v>2000</v>
      </c>
      <c r="O16" s="760" t="str">
        <f t="shared" si="0"/>
        <v/>
      </c>
      <c r="P16" s="1">
        <f t="shared" si="3"/>
        <v>2000</v>
      </c>
    </row>
    <row r="17" spans="1:16" ht="16.2" customHeight="1" x14ac:dyDescent="0.3">
      <c r="A17" s="451" t="s">
        <v>124</v>
      </c>
      <c r="B17" s="451" t="s">
        <v>408</v>
      </c>
      <c r="C17" s="451" t="s">
        <v>468</v>
      </c>
      <c r="D17" s="763"/>
      <c r="E17" s="763"/>
      <c r="F17" s="763" t="s">
        <v>188</v>
      </c>
      <c r="G17" s="763" t="s">
        <v>410</v>
      </c>
      <c r="H17" s="764">
        <v>44243</v>
      </c>
      <c r="I17" s="913">
        <v>46085</v>
      </c>
      <c r="J17" s="451" t="s">
        <v>421</v>
      </c>
      <c r="K17" s="451" t="s">
        <v>1</v>
      </c>
      <c r="L17" s="451">
        <f t="shared" ref="L17" si="4">COUNTIF($J$2:$J$35,J17)</f>
        <v>3</v>
      </c>
      <c r="M17" s="674" t="s">
        <v>124</v>
      </c>
      <c r="N17" s="451">
        <f t="shared" si="2"/>
        <v>0</v>
      </c>
      <c r="O17" s="760" t="str">
        <f t="shared" si="0"/>
        <v/>
      </c>
      <c r="P17" s="1">
        <f t="shared" si="3"/>
        <v>2000</v>
      </c>
    </row>
    <row r="18" spans="1:16" ht="16.2" customHeight="1" x14ac:dyDescent="0.3">
      <c r="A18" s="763"/>
      <c r="B18" s="763"/>
      <c r="C18" s="763"/>
      <c r="D18" s="763"/>
      <c r="E18" s="763"/>
      <c r="F18" s="763"/>
      <c r="G18" s="763"/>
      <c r="H18" s="763"/>
      <c r="I18" s="764"/>
      <c r="J18" s="451"/>
      <c r="K18" s="451"/>
      <c r="L18" s="451"/>
      <c r="M18" s="674"/>
      <c r="N18" s="451"/>
      <c r="O18" s="760"/>
      <c r="P18" s="1">
        <f t="shared" si="3"/>
        <v>0</v>
      </c>
    </row>
    <row r="19" spans="1:16" ht="16.2" customHeight="1" x14ac:dyDescent="0.3">
      <c r="A19" s="763"/>
      <c r="B19" s="763"/>
      <c r="C19" s="997" t="s">
        <v>954</v>
      </c>
      <c r="D19" s="763"/>
      <c r="E19" s="763"/>
      <c r="F19" s="763"/>
      <c r="G19" s="763"/>
      <c r="H19" s="763"/>
      <c r="I19" s="764"/>
      <c r="J19" s="451"/>
      <c r="K19" s="451"/>
      <c r="L19" s="451"/>
      <c r="M19" s="674"/>
      <c r="N19" s="451"/>
      <c r="O19" s="760"/>
      <c r="P19" s="1">
        <f t="shared" si="3"/>
        <v>0</v>
      </c>
    </row>
    <row r="20" spans="1:16" ht="16.2" customHeight="1" x14ac:dyDescent="0.3">
      <c r="A20" s="451" t="s">
        <v>415</v>
      </c>
      <c r="B20" s="451" t="s">
        <v>387</v>
      </c>
      <c r="C20" s="994" t="s">
        <v>168</v>
      </c>
      <c r="D20" s="994" t="s">
        <v>169</v>
      </c>
      <c r="E20" s="994" t="s">
        <v>416</v>
      </c>
      <c r="F20" s="994" t="s">
        <v>188</v>
      </c>
      <c r="G20" s="994" t="s">
        <v>389</v>
      </c>
      <c r="H20" s="994"/>
      <c r="I20" s="995">
        <v>45657</v>
      </c>
      <c r="J20" s="994" t="s">
        <v>416</v>
      </c>
      <c r="K20" s="994" t="s">
        <v>2</v>
      </c>
      <c r="L20" s="994">
        <f t="shared" ref="L20:L35" si="5">COUNTIF($J$2:$J$35,J20)</f>
        <v>1</v>
      </c>
      <c r="M20" s="996" t="s">
        <v>16</v>
      </c>
      <c r="N20" s="994">
        <f t="shared" si="2"/>
        <v>2000</v>
      </c>
      <c r="O20" s="760" t="str">
        <f t="shared" ref="O20:O29" si="6">IF(SUMIF($J$2:$J$35,J20,$N$2:$N$35)=0,"!!","")</f>
        <v/>
      </c>
      <c r="P20" s="1">
        <f t="shared" si="3"/>
        <v>2000</v>
      </c>
    </row>
    <row r="21" spans="1:16" ht="16.2" customHeight="1" x14ac:dyDescent="0.3">
      <c r="A21" s="451" t="s">
        <v>415</v>
      </c>
      <c r="B21" s="451" t="s">
        <v>387</v>
      </c>
      <c r="C21" s="994" t="s">
        <v>168</v>
      </c>
      <c r="D21" s="994" t="s">
        <v>171</v>
      </c>
      <c r="E21" s="994" t="s">
        <v>247</v>
      </c>
      <c r="F21" s="994" t="s">
        <v>188</v>
      </c>
      <c r="G21" s="994" t="s">
        <v>389</v>
      </c>
      <c r="H21" s="994"/>
      <c r="I21" s="995">
        <v>45657</v>
      </c>
      <c r="J21" s="994" t="s">
        <v>247</v>
      </c>
      <c r="K21" s="994" t="s">
        <v>3</v>
      </c>
      <c r="L21" s="994">
        <f t="shared" si="5"/>
        <v>1</v>
      </c>
      <c r="M21" s="996" t="s">
        <v>426</v>
      </c>
      <c r="N21" s="994">
        <f t="shared" si="2"/>
        <v>0</v>
      </c>
      <c r="O21" s="760" t="str">
        <f t="shared" si="6"/>
        <v>!!</v>
      </c>
      <c r="P21" s="1">
        <f t="shared" si="3"/>
        <v>0</v>
      </c>
    </row>
    <row r="22" spans="1:16" ht="16.2" customHeight="1" x14ac:dyDescent="0.3">
      <c r="A22" s="451" t="s">
        <v>415</v>
      </c>
      <c r="B22" s="451" t="s">
        <v>387</v>
      </c>
      <c r="C22" s="994" t="s">
        <v>417</v>
      </c>
      <c r="D22" s="994" t="s">
        <v>172</v>
      </c>
      <c r="E22" s="994" t="s">
        <v>392</v>
      </c>
      <c r="F22" s="994" t="s">
        <v>170</v>
      </c>
      <c r="G22" s="994" t="s">
        <v>389</v>
      </c>
      <c r="H22" s="994"/>
      <c r="I22" s="995">
        <v>45657</v>
      </c>
      <c r="J22" s="994" t="s">
        <v>392</v>
      </c>
      <c r="K22" s="994" t="s">
        <v>3</v>
      </c>
      <c r="L22" s="994">
        <f t="shared" si="5"/>
        <v>2</v>
      </c>
      <c r="M22" s="996" t="s">
        <v>124</v>
      </c>
      <c r="N22" s="994">
        <f t="shared" si="2"/>
        <v>0</v>
      </c>
      <c r="O22" s="760" t="str">
        <f t="shared" si="6"/>
        <v/>
      </c>
      <c r="P22" s="1">
        <f t="shared" si="3"/>
        <v>2000</v>
      </c>
    </row>
    <row r="23" spans="1:16" ht="16.2" customHeight="1" x14ac:dyDescent="0.3">
      <c r="A23" s="451" t="s">
        <v>415</v>
      </c>
      <c r="B23" s="451" t="s">
        <v>387</v>
      </c>
      <c r="C23" s="994" t="s">
        <v>173</v>
      </c>
      <c r="D23" s="994" t="s">
        <v>174</v>
      </c>
      <c r="E23" s="994" t="s">
        <v>396</v>
      </c>
      <c r="F23" s="994" t="s">
        <v>170</v>
      </c>
      <c r="G23" s="994" t="s">
        <v>389</v>
      </c>
      <c r="H23" s="994"/>
      <c r="I23" s="995">
        <v>45657</v>
      </c>
      <c r="J23" s="994" t="s">
        <v>396</v>
      </c>
      <c r="K23" s="994" t="s">
        <v>427</v>
      </c>
      <c r="L23" s="994">
        <f t="shared" si="5"/>
        <v>3</v>
      </c>
      <c r="M23" s="996" t="s">
        <v>124</v>
      </c>
      <c r="N23" s="994">
        <f t="shared" si="2"/>
        <v>0</v>
      </c>
      <c r="O23" s="760" t="str">
        <f t="shared" si="6"/>
        <v/>
      </c>
      <c r="P23" s="1">
        <f t="shared" si="3"/>
        <v>2000</v>
      </c>
    </row>
    <row r="24" spans="1:16" ht="16.2" customHeight="1" x14ac:dyDescent="0.3">
      <c r="A24" s="451" t="s">
        <v>415</v>
      </c>
      <c r="B24" s="451" t="s">
        <v>387</v>
      </c>
      <c r="C24" s="994" t="s">
        <v>175</v>
      </c>
      <c r="D24" s="994" t="s">
        <v>176</v>
      </c>
      <c r="E24" s="994" t="s">
        <v>400</v>
      </c>
      <c r="F24" s="994" t="s">
        <v>170</v>
      </c>
      <c r="G24" s="994" t="s">
        <v>389</v>
      </c>
      <c r="H24" s="994"/>
      <c r="I24" s="995">
        <v>45657</v>
      </c>
      <c r="J24" s="994" t="s">
        <v>400</v>
      </c>
      <c r="K24" s="994" t="s">
        <v>1</v>
      </c>
      <c r="L24" s="994">
        <f t="shared" si="5"/>
        <v>5</v>
      </c>
      <c r="M24" s="996" t="s">
        <v>124</v>
      </c>
      <c r="N24" s="994">
        <f t="shared" si="2"/>
        <v>0</v>
      </c>
      <c r="O24" s="760" t="str">
        <f t="shared" si="6"/>
        <v/>
      </c>
      <c r="P24" s="1">
        <f t="shared" si="3"/>
        <v>2000</v>
      </c>
    </row>
    <row r="25" spans="1:16" ht="16.2" customHeight="1" x14ac:dyDescent="0.3">
      <c r="A25" s="451" t="s">
        <v>415</v>
      </c>
      <c r="B25" s="451" t="s">
        <v>397</v>
      </c>
      <c r="C25" s="994" t="s">
        <v>177</v>
      </c>
      <c r="D25" s="994" t="s">
        <v>193</v>
      </c>
      <c r="E25" s="994" t="s">
        <v>405</v>
      </c>
      <c r="F25" s="994" t="s">
        <v>170</v>
      </c>
      <c r="G25" s="994" t="s">
        <v>399</v>
      </c>
      <c r="H25" s="994"/>
      <c r="I25" s="995">
        <v>45657</v>
      </c>
      <c r="J25" s="994" t="s">
        <v>405</v>
      </c>
      <c r="K25" s="994" t="s">
        <v>2</v>
      </c>
      <c r="L25" s="994">
        <f t="shared" si="5"/>
        <v>5</v>
      </c>
      <c r="M25" s="996" t="s">
        <v>124</v>
      </c>
      <c r="N25" s="994">
        <f t="shared" si="2"/>
        <v>0</v>
      </c>
      <c r="O25" s="760" t="str">
        <f t="shared" si="6"/>
        <v/>
      </c>
      <c r="P25" s="1">
        <f t="shared" si="3"/>
        <v>2000</v>
      </c>
    </row>
    <row r="26" spans="1:16" ht="16.2" customHeight="1" x14ac:dyDescent="0.3">
      <c r="A26" s="451" t="s">
        <v>415</v>
      </c>
      <c r="B26" s="451" t="s">
        <v>397</v>
      </c>
      <c r="C26" s="994" t="s">
        <v>177</v>
      </c>
      <c r="D26" s="994" t="s">
        <v>178</v>
      </c>
      <c r="E26" s="994" t="s">
        <v>405</v>
      </c>
      <c r="F26" s="994" t="s">
        <v>170</v>
      </c>
      <c r="G26" s="994" t="s">
        <v>399</v>
      </c>
      <c r="H26" s="994"/>
      <c r="I26" s="995">
        <v>45657</v>
      </c>
      <c r="J26" s="994" t="s">
        <v>405</v>
      </c>
      <c r="K26" s="994" t="s">
        <v>2</v>
      </c>
      <c r="L26" s="994">
        <f t="shared" si="5"/>
        <v>5</v>
      </c>
      <c r="M26" s="996" t="s">
        <v>124</v>
      </c>
      <c r="N26" s="994">
        <f t="shared" si="2"/>
        <v>0</v>
      </c>
      <c r="O26" s="760" t="str">
        <f t="shared" si="6"/>
        <v/>
      </c>
      <c r="P26" s="1">
        <f t="shared" si="3"/>
        <v>2000</v>
      </c>
    </row>
    <row r="27" spans="1:16" ht="16.2" customHeight="1" x14ac:dyDescent="0.3">
      <c r="A27" s="451" t="s">
        <v>415</v>
      </c>
      <c r="B27" s="451" t="s">
        <v>397</v>
      </c>
      <c r="C27" s="994" t="s">
        <v>177</v>
      </c>
      <c r="D27" s="994" t="s">
        <v>179</v>
      </c>
      <c r="E27" s="994" t="s">
        <v>402</v>
      </c>
      <c r="F27" s="994" t="s">
        <v>170</v>
      </c>
      <c r="G27" s="994" t="s">
        <v>399</v>
      </c>
      <c r="H27" s="994"/>
      <c r="I27" s="995">
        <v>45657</v>
      </c>
      <c r="J27" s="994" t="s">
        <v>402</v>
      </c>
      <c r="K27" s="994" t="s">
        <v>1</v>
      </c>
      <c r="L27" s="994">
        <f t="shared" si="5"/>
        <v>3</v>
      </c>
      <c r="M27" s="996" t="s">
        <v>124</v>
      </c>
      <c r="N27" s="994">
        <f t="shared" si="2"/>
        <v>0</v>
      </c>
      <c r="O27" s="760" t="str">
        <f t="shared" si="6"/>
        <v/>
      </c>
      <c r="P27" s="1">
        <f t="shared" si="3"/>
        <v>2000</v>
      </c>
    </row>
    <row r="28" spans="1:16" ht="16.2" customHeight="1" x14ac:dyDescent="0.3">
      <c r="A28" s="451" t="s">
        <v>415</v>
      </c>
      <c r="B28" s="451" t="s">
        <v>397</v>
      </c>
      <c r="C28" s="994" t="s">
        <v>180</v>
      </c>
      <c r="D28" s="994" t="s">
        <v>181</v>
      </c>
      <c r="E28" s="994" t="s">
        <v>405</v>
      </c>
      <c r="F28" s="994" t="s">
        <v>170</v>
      </c>
      <c r="G28" s="994" t="s">
        <v>399</v>
      </c>
      <c r="H28" s="994"/>
      <c r="I28" s="995">
        <v>45657</v>
      </c>
      <c r="J28" s="994" t="s">
        <v>405</v>
      </c>
      <c r="K28" s="994" t="s">
        <v>2</v>
      </c>
      <c r="L28" s="994">
        <f t="shared" si="5"/>
        <v>5</v>
      </c>
      <c r="M28" s="996" t="s">
        <v>124</v>
      </c>
      <c r="N28" s="994">
        <f t="shared" si="2"/>
        <v>0</v>
      </c>
      <c r="O28" s="760" t="str">
        <f t="shared" si="6"/>
        <v/>
      </c>
      <c r="P28" s="1">
        <f t="shared" si="3"/>
        <v>2000</v>
      </c>
    </row>
    <row r="29" spans="1:16" ht="16.2" customHeight="1" x14ac:dyDescent="0.3">
      <c r="A29" s="451" t="s">
        <v>415</v>
      </c>
      <c r="B29" s="451" t="s">
        <v>397</v>
      </c>
      <c r="C29" s="994" t="s">
        <v>180</v>
      </c>
      <c r="D29" s="994" t="s">
        <v>419</v>
      </c>
      <c r="E29" s="994" t="s">
        <v>418</v>
      </c>
      <c r="F29" s="994" t="s">
        <v>170</v>
      </c>
      <c r="G29" s="994" t="s">
        <v>399</v>
      </c>
      <c r="H29" s="994"/>
      <c r="I29" s="995">
        <v>45657</v>
      </c>
      <c r="J29" s="994" t="s">
        <v>418</v>
      </c>
      <c r="K29" s="994" t="s">
        <v>2</v>
      </c>
      <c r="L29" s="994">
        <f t="shared" si="5"/>
        <v>1</v>
      </c>
      <c r="M29" s="996" t="s">
        <v>426</v>
      </c>
      <c r="N29" s="994">
        <f t="shared" si="2"/>
        <v>0</v>
      </c>
      <c r="O29" s="760" t="str">
        <f t="shared" si="6"/>
        <v>!!</v>
      </c>
      <c r="P29" s="1">
        <f t="shared" si="3"/>
        <v>0</v>
      </c>
    </row>
    <row r="30" spans="1:16" ht="16.2" customHeight="1" x14ac:dyDescent="0.3">
      <c r="A30" s="451" t="s">
        <v>415</v>
      </c>
      <c r="B30" s="451" t="s">
        <v>397</v>
      </c>
      <c r="C30" s="994" t="s">
        <v>182</v>
      </c>
      <c r="D30" s="994" t="s">
        <v>183</v>
      </c>
      <c r="E30" s="994" t="s">
        <v>420</v>
      </c>
      <c r="F30" s="994" t="s">
        <v>170</v>
      </c>
      <c r="G30" s="994" t="s">
        <v>399</v>
      </c>
      <c r="H30" s="994"/>
      <c r="I30" s="995">
        <v>45657</v>
      </c>
      <c r="J30" s="994" t="s">
        <v>420</v>
      </c>
      <c r="K30" s="994" t="s">
        <v>1</v>
      </c>
      <c r="L30" s="994">
        <f t="shared" si="5"/>
        <v>2</v>
      </c>
      <c r="M30" s="996" t="s">
        <v>16</v>
      </c>
      <c r="N30" s="994">
        <f t="shared" si="2"/>
        <v>2000</v>
      </c>
      <c r="O30" s="760" t="str">
        <f t="shared" ref="O30:O35" si="7">IF(SUMIF($J$2:$J$35,J30,$N$2:$N$35)=0,"!!","")</f>
        <v/>
      </c>
      <c r="P30" s="1">
        <f t="shared" si="3"/>
        <v>2000</v>
      </c>
    </row>
    <row r="31" spans="1:16" ht="16.2" customHeight="1" x14ac:dyDescent="0.3">
      <c r="A31" s="451" t="s">
        <v>415</v>
      </c>
      <c r="B31" s="451" t="s">
        <v>397</v>
      </c>
      <c r="C31" s="994" t="s">
        <v>184</v>
      </c>
      <c r="D31" s="994" t="s">
        <v>185</v>
      </c>
      <c r="E31" s="994" t="s">
        <v>400</v>
      </c>
      <c r="F31" s="994" t="s">
        <v>170</v>
      </c>
      <c r="G31" s="994" t="s">
        <v>399</v>
      </c>
      <c r="H31" s="994"/>
      <c r="I31" s="995">
        <v>45657</v>
      </c>
      <c r="J31" s="994" t="s">
        <v>400</v>
      </c>
      <c r="K31" s="994" t="s">
        <v>1</v>
      </c>
      <c r="L31" s="994">
        <f t="shared" si="5"/>
        <v>5</v>
      </c>
      <c r="M31" s="996" t="s">
        <v>124</v>
      </c>
      <c r="N31" s="994">
        <f t="shared" si="2"/>
        <v>0</v>
      </c>
      <c r="O31" s="760" t="str">
        <f t="shared" si="7"/>
        <v/>
      </c>
      <c r="P31" s="1">
        <f t="shared" si="3"/>
        <v>2000</v>
      </c>
    </row>
    <row r="32" spans="1:16" x14ac:dyDescent="0.3">
      <c r="A32" s="451" t="s">
        <v>415</v>
      </c>
      <c r="B32" s="451" t="s">
        <v>397</v>
      </c>
      <c r="C32" s="994" t="s">
        <v>184</v>
      </c>
      <c r="D32" s="994" t="s">
        <v>422</v>
      </c>
      <c r="E32" s="994" t="s">
        <v>421</v>
      </c>
      <c r="F32" s="994" t="s">
        <v>170</v>
      </c>
      <c r="G32" s="994" t="s">
        <v>399</v>
      </c>
      <c r="H32" s="994"/>
      <c r="I32" s="995">
        <v>45657</v>
      </c>
      <c r="J32" s="994" t="s">
        <v>421</v>
      </c>
      <c r="K32" s="994" t="s">
        <v>1</v>
      </c>
      <c r="L32" s="994">
        <f t="shared" si="5"/>
        <v>3</v>
      </c>
      <c r="M32" s="996" t="s">
        <v>124</v>
      </c>
      <c r="N32" s="994">
        <f t="shared" si="2"/>
        <v>0</v>
      </c>
      <c r="O32" s="760" t="str">
        <f t="shared" si="7"/>
        <v/>
      </c>
      <c r="P32" s="1">
        <f t="shared" si="3"/>
        <v>2000</v>
      </c>
    </row>
    <row r="33" spans="1:16" x14ac:dyDescent="0.3">
      <c r="A33" s="451" t="s">
        <v>415</v>
      </c>
      <c r="B33" s="451" t="s">
        <v>408</v>
      </c>
      <c r="C33" s="994" t="s">
        <v>186</v>
      </c>
      <c r="D33" s="994" t="s">
        <v>187</v>
      </c>
      <c r="E33" s="994" t="s">
        <v>413</v>
      </c>
      <c r="F33" s="994" t="s">
        <v>188</v>
      </c>
      <c r="G33" s="994" t="s">
        <v>410</v>
      </c>
      <c r="H33" s="994"/>
      <c r="I33" s="995">
        <v>45657</v>
      </c>
      <c r="J33" s="994" t="s">
        <v>413</v>
      </c>
      <c r="K33" s="994" t="s">
        <v>3</v>
      </c>
      <c r="L33" s="994">
        <f t="shared" si="5"/>
        <v>3</v>
      </c>
      <c r="M33" s="996" t="s">
        <v>124</v>
      </c>
      <c r="N33" s="994">
        <f t="shared" si="2"/>
        <v>0</v>
      </c>
      <c r="O33" s="760" t="str">
        <f t="shared" si="7"/>
        <v/>
      </c>
      <c r="P33" s="1">
        <f t="shared" si="3"/>
        <v>2000</v>
      </c>
    </row>
    <row r="34" spans="1:16" x14ac:dyDescent="0.3">
      <c r="A34" s="451" t="s">
        <v>415</v>
      </c>
      <c r="B34" s="451" t="s">
        <v>408</v>
      </c>
      <c r="C34" s="994" t="s">
        <v>189</v>
      </c>
      <c r="D34" s="994" t="s">
        <v>190</v>
      </c>
      <c r="E34" s="994" t="s">
        <v>423</v>
      </c>
      <c r="F34" s="994" t="s">
        <v>188</v>
      </c>
      <c r="G34" s="994" t="s">
        <v>410</v>
      </c>
      <c r="H34" s="994"/>
      <c r="I34" s="995">
        <v>45657</v>
      </c>
      <c r="J34" s="994" t="s">
        <v>423</v>
      </c>
      <c r="K34" s="994" t="s">
        <v>1</v>
      </c>
      <c r="L34" s="994">
        <f t="shared" si="5"/>
        <v>1</v>
      </c>
      <c r="M34" s="996" t="s">
        <v>16</v>
      </c>
      <c r="N34" s="994">
        <f t="shared" si="2"/>
        <v>2000</v>
      </c>
      <c r="O34" s="760" t="str">
        <f t="shared" si="7"/>
        <v/>
      </c>
      <c r="P34" s="1">
        <f t="shared" si="3"/>
        <v>2000</v>
      </c>
    </row>
    <row r="35" spans="1:16" x14ac:dyDescent="0.3">
      <c r="A35" s="451" t="s">
        <v>415</v>
      </c>
      <c r="B35" s="451" t="s">
        <v>408</v>
      </c>
      <c r="C35" s="994" t="s">
        <v>191</v>
      </c>
      <c r="D35" s="994" t="s">
        <v>192</v>
      </c>
      <c r="E35" s="994" t="s">
        <v>420</v>
      </c>
      <c r="F35" s="994" t="s">
        <v>188</v>
      </c>
      <c r="G35" s="994" t="s">
        <v>410</v>
      </c>
      <c r="H35" s="994"/>
      <c r="I35" s="995">
        <v>45657</v>
      </c>
      <c r="J35" s="994" t="s">
        <v>420</v>
      </c>
      <c r="K35" s="994" t="s">
        <v>1</v>
      </c>
      <c r="L35" s="994">
        <f t="shared" si="5"/>
        <v>2</v>
      </c>
      <c r="M35" s="996" t="s">
        <v>124</v>
      </c>
      <c r="N35" s="994">
        <f>IF(M35="A",2000,0)</f>
        <v>0</v>
      </c>
      <c r="O35" s="760" t="str">
        <f t="shared" si="7"/>
        <v/>
      </c>
      <c r="P35" s="1">
        <f t="shared" si="3"/>
        <v>2000</v>
      </c>
    </row>
    <row r="36" spans="1:16" x14ac:dyDescent="0.3">
      <c r="A36" s="451"/>
      <c r="B36" s="451"/>
      <c r="L36" s="451"/>
      <c r="M36" s="674"/>
      <c r="N36" s="451"/>
      <c r="O36" s="741" t="str">
        <f>IF(SUMIF($J$2:$J$35,J16,$N$2:$N$35)=0,"!!","")</f>
        <v/>
      </c>
    </row>
    <row r="37" spans="1:16" x14ac:dyDescent="0.3">
      <c r="A37" s="451"/>
      <c r="B37" s="451"/>
      <c r="L37" s="451"/>
      <c r="M37" s="674"/>
      <c r="N37" s="451"/>
      <c r="O37" s="760" t="str">
        <f>IF(SUMIF($J$2:$J$35,J17,$N$2:$N$35)=0,"!!","")</f>
        <v/>
      </c>
    </row>
    <row r="38" spans="1:16" x14ac:dyDescent="0.3">
      <c r="A38" s="451"/>
      <c r="B38" s="451"/>
      <c r="C38" s="451"/>
      <c r="D38" s="763"/>
      <c r="E38" s="763"/>
      <c r="F38" s="763"/>
      <c r="G38" s="763"/>
      <c r="H38" s="763"/>
      <c r="I38" s="764"/>
      <c r="J38" s="451"/>
      <c r="K38" s="451"/>
      <c r="L38" s="451"/>
      <c r="M38" s="674"/>
      <c r="N38" s="451"/>
      <c r="O38" s="760"/>
    </row>
    <row r="39" spans="1:16" x14ac:dyDescent="0.3">
      <c r="A39" s="451"/>
      <c r="B39" s="451"/>
      <c r="C39" s="451"/>
      <c r="D39" s="763"/>
      <c r="E39" s="763"/>
      <c r="F39" s="763"/>
      <c r="G39" s="763"/>
      <c r="H39" s="763"/>
      <c r="I39" s="764"/>
      <c r="J39" s="451"/>
      <c r="K39" s="451"/>
      <c r="L39" s="451"/>
      <c r="M39" s="674"/>
      <c r="N39" s="451"/>
      <c r="O39" s="760"/>
    </row>
    <row r="40" spans="1:16" x14ac:dyDescent="0.3">
      <c r="A40" s="451"/>
      <c r="B40" s="451"/>
      <c r="C40" s="915" t="s">
        <v>814</v>
      </c>
      <c r="D40" s="914"/>
      <c r="E40" s="914"/>
      <c r="F40" s="914"/>
      <c r="G40" s="451"/>
      <c r="H40" s="451"/>
      <c r="I40" s="451"/>
      <c r="J40" s="451"/>
      <c r="K40" s="451"/>
      <c r="L40" s="451"/>
      <c r="M40" s="674"/>
      <c r="N40" s="451"/>
      <c r="O40" s="451" t="s">
        <v>432</v>
      </c>
      <c r="P40" s="1" t="s">
        <v>529</v>
      </c>
    </row>
    <row r="41" spans="1:16" x14ac:dyDescent="0.3">
      <c r="A41" s="451"/>
      <c r="B41" s="451"/>
      <c r="C41" s="916" t="s">
        <v>815</v>
      </c>
      <c r="D41" s="916"/>
      <c r="E41" s="914"/>
      <c r="F41" s="914"/>
      <c r="G41" s="451"/>
      <c r="H41" s="451"/>
      <c r="I41" s="451"/>
      <c r="J41" s="451"/>
      <c r="K41" s="451"/>
      <c r="L41" s="451"/>
      <c r="M41" s="674"/>
      <c r="N41" s="451" t="s">
        <v>7</v>
      </c>
      <c r="O41" s="498" t="s">
        <v>350</v>
      </c>
    </row>
    <row r="42" spans="1:16" x14ac:dyDescent="0.3">
      <c r="A42" s="451"/>
      <c r="B42" s="451"/>
      <c r="C42" s="916" t="s">
        <v>825</v>
      </c>
      <c r="D42" s="916"/>
      <c r="E42" s="914"/>
      <c r="F42" s="914"/>
      <c r="G42" s="451"/>
      <c r="H42" s="451"/>
      <c r="I42" s="451"/>
      <c r="J42" s="451"/>
      <c r="K42" s="726" t="s">
        <v>3</v>
      </c>
      <c r="L42" s="726"/>
      <c r="M42" s="727"/>
      <c r="N42" s="728">
        <f>SUMIF($K$2:$K$36,K42,$N$2:$N$36)</f>
        <v>4000</v>
      </c>
      <c r="O42" s="730">
        <f>IF($O$41="ANO",N42*12*1.338,0)</f>
        <v>0</v>
      </c>
    </row>
    <row r="43" spans="1:16" x14ac:dyDescent="0.3">
      <c r="A43" s="451"/>
      <c r="B43" s="451"/>
      <c r="C43" s="916" t="s">
        <v>816</v>
      </c>
      <c r="D43" s="916"/>
      <c r="E43" s="914"/>
      <c r="F43" s="914"/>
      <c r="G43" s="451"/>
      <c r="H43" s="451"/>
      <c r="I43" s="451"/>
      <c r="J43" s="451"/>
      <c r="K43" s="726" t="s">
        <v>2</v>
      </c>
      <c r="L43" s="726"/>
      <c r="M43" s="727"/>
      <c r="N43" s="728">
        <f>SUMIF($K$2:$K$36,K43,$N$2:$N$36)</f>
        <v>6000</v>
      </c>
      <c r="O43" s="730">
        <f t="shared" ref="O43:O45" si="8">IF($O$41="ANO",N43*12*1.338,0)</f>
        <v>0</v>
      </c>
    </row>
    <row r="44" spans="1:16" x14ac:dyDescent="0.3">
      <c r="A44" s="451"/>
      <c r="B44" s="451"/>
      <c r="C44" s="916" t="s">
        <v>817</v>
      </c>
      <c r="D44" s="917"/>
      <c r="E44" s="451"/>
      <c r="F44" s="451"/>
      <c r="G44" s="451"/>
      <c r="H44" s="451"/>
      <c r="I44" s="451"/>
      <c r="J44" s="451"/>
      <c r="K44" s="726" t="s">
        <v>1</v>
      </c>
      <c r="L44" s="726"/>
      <c r="M44" s="727"/>
      <c r="N44" s="728">
        <f>SUMIF($K$2:$K$36,K44,$N$2:$N$36)</f>
        <v>12000</v>
      </c>
      <c r="O44" s="730">
        <f t="shared" si="8"/>
        <v>0</v>
      </c>
    </row>
    <row r="45" spans="1:16" x14ac:dyDescent="0.3">
      <c r="A45" s="451"/>
      <c r="B45" s="451"/>
      <c r="C45" s="916" t="s">
        <v>818</v>
      </c>
      <c r="D45" s="917"/>
      <c r="E45" s="451"/>
      <c r="F45" s="451"/>
      <c r="G45" s="451"/>
      <c r="H45" s="451"/>
      <c r="I45" s="451"/>
      <c r="J45" s="451"/>
      <c r="K45" s="726" t="s">
        <v>427</v>
      </c>
      <c r="L45" s="726"/>
      <c r="M45" s="727"/>
      <c r="N45" s="728">
        <f>SUMIF($K$2:$K$36,K45,$N$2:$N$36)</f>
        <v>2000</v>
      </c>
      <c r="O45" s="730">
        <f t="shared" si="8"/>
        <v>0</v>
      </c>
    </row>
    <row r="46" spans="1:16" x14ac:dyDescent="0.3">
      <c r="A46" s="451"/>
      <c r="B46" s="451"/>
      <c r="C46" s="916" t="s">
        <v>819</v>
      </c>
      <c r="D46" s="451"/>
      <c r="E46" s="451"/>
      <c r="F46" s="451"/>
      <c r="G46" s="451"/>
      <c r="H46" s="451"/>
      <c r="I46" s="451"/>
      <c r="J46" s="451"/>
      <c r="K46" s="451"/>
      <c r="L46" s="451"/>
      <c r="M46" s="674"/>
      <c r="N46" s="729">
        <f>SUM(N42:N45)*12</f>
        <v>288000</v>
      </c>
      <c r="O46" s="728">
        <f>IF(O41="NE",N46*1.338,O45)</f>
        <v>385344</v>
      </c>
    </row>
    <row r="47" spans="1:16" x14ac:dyDescent="0.3">
      <c r="A47" s="451"/>
      <c r="B47" s="451"/>
      <c r="C47" s="916" t="s">
        <v>903</v>
      </c>
      <c r="D47" s="451"/>
      <c r="E47" s="451"/>
      <c r="F47" s="451"/>
      <c r="G47" s="451"/>
      <c r="H47" s="451"/>
      <c r="I47" s="451"/>
      <c r="J47" s="451"/>
      <c r="K47" s="451"/>
      <c r="L47" s="451"/>
      <c r="M47" s="674"/>
      <c r="N47" s="451"/>
    </row>
    <row r="48" spans="1:16" x14ac:dyDescent="0.3">
      <c r="A48" s="451"/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451"/>
      <c r="M48" s="674"/>
      <c r="N48" s="451"/>
    </row>
    <row r="49" spans="1:8" ht="21" x14ac:dyDescent="0.4">
      <c r="A49" s="451"/>
      <c r="C49" s="971" t="s">
        <v>904</v>
      </c>
      <c r="D49" s="971"/>
      <c r="E49" s="971"/>
      <c r="F49" s="971"/>
      <c r="G49" s="971"/>
      <c r="H49" s="971"/>
    </row>
    <row r="50" spans="1:8" x14ac:dyDescent="0.3">
      <c r="A50" s="451"/>
      <c r="C50"/>
      <c r="D50"/>
      <c r="E50"/>
      <c r="F50"/>
      <c r="G50"/>
      <c r="H50"/>
    </row>
    <row r="51" spans="1:8" x14ac:dyDescent="0.3">
      <c r="A51" s="451"/>
      <c r="C51" s="972" t="s">
        <v>382</v>
      </c>
      <c r="D51" s="972" t="s">
        <v>386</v>
      </c>
      <c r="E51" s="972" t="s">
        <v>431</v>
      </c>
      <c r="F51" s="972" t="s">
        <v>905</v>
      </c>
      <c r="G51" s="973" t="s">
        <v>966</v>
      </c>
      <c r="H51" s="973"/>
    </row>
    <row r="52" spans="1:8" x14ac:dyDescent="0.3">
      <c r="A52" s="451"/>
      <c r="C52" s="451" t="s">
        <v>388</v>
      </c>
      <c r="D52" s="451" t="s">
        <v>390</v>
      </c>
      <c r="E52" s="451">
        <v>2000</v>
      </c>
      <c r="F52" t="s">
        <v>906</v>
      </c>
      <c r="G52" s="974" t="s">
        <v>907</v>
      </c>
      <c r="H52"/>
    </row>
    <row r="53" spans="1:8" x14ac:dyDescent="0.3">
      <c r="C53" s="451" t="s">
        <v>391</v>
      </c>
      <c r="D53" s="451" t="s">
        <v>392</v>
      </c>
      <c r="E53" s="451">
        <v>2000</v>
      </c>
      <c r="F53" t="s">
        <v>906</v>
      </c>
      <c r="G53" s="974" t="s">
        <v>908</v>
      </c>
      <c r="H53"/>
    </row>
    <row r="54" spans="1:8" x14ac:dyDescent="0.3">
      <c r="C54" s="451" t="s">
        <v>393</v>
      </c>
      <c r="D54" s="451" t="s">
        <v>394</v>
      </c>
      <c r="E54" s="451">
        <v>2000</v>
      </c>
      <c r="F54" t="s">
        <v>906</v>
      </c>
      <c r="G54" s="974" t="s">
        <v>908</v>
      </c>
      <c r="H54"/>
    </row>
    <row r="55" spans="1:8" x14ac:dyDescent="0.3">
      <c r="C55" s="451" t="s">
        <v>395</v>
      </c>
      <c r="D55" s="451" t="s">
        <v>396</v>
      </c>
      <c r="E55" s="451">
        <v>2000</v>
      </c>
      <c r="F55" s="975" t="s">
        <v>909</v>
      </c>
      <c r="G55" s="974" t="s">
        <v>910</v>
      </c>
      <c r="H55"/>
    </row>
    <row r="56" spans="1:8" x14ac:dyDescent="0.3">
      <c r="C56" s="451" t="s">
        <v>398</v>
      </c>
      <c r="D56" s="451" t="s">
        <v>400</v>
      </c>
      <c r="E56" s="451">
        <v>2000</v>
      </c>
      <c r="F56" t="s">
        <v>906</v>
      </c>
      <c r="G56" s="974" t="s">
        <v>907</v>
      </c>
      <c r="H56"/>
    </row>
    <row r="57" spans="1:8" x14ac:dyDescent="0.3">
      <c r="C57" s="451" t="s">
        <v>401</v>
      </c>
      <c r="D57" s="451" t="s">
        <v>402</v>
      </c>
      <c r="E57" s="451">
        <v>2000</v>
      </c>
      <c r="F57" t="s">
        <v>906</v>
      </c>
      <c r="G57" s="974" t="s">
        <v>911</v>
      </c>
      <c r="H57"/>
    </row>
    <row r="58" spans="1:8" x14ac:dyDescent="0.3">
      <c r="C58" s="451" t="s">
        <v>404</v>
      </c>
      <c r="D58" s="451" t="s">
        <v>405</v>
      </c>
      <c r="E58" s="451">
        <v>2000</v>
      </c>
      <c r="F58" t="s">
        <v>906</v>
      </c>
      <c r="G58" s="974" t="s">
        <v>912</v>
      </c>
      <c r="H58"/>
    </row>
    <row r="59" spans="1:8" x14ac:dyDescent="0.3">
      <c r="C59" s="451" t="s">
        <v>412</v>
      </c>
      <c r="D59" s="451" t="s">
        <v>413</v>
      </c>
      <c r="E59" s="451">
        <v>2000</v>
      </c>
      <c r="F59" t="s">
        <v>906</v>
      </c>
      <c r="G59" s="974" t="s">
        <v>913</v>
      </c>
      <c r="H59"/>
    </row>
    <row r="60" spans="1:8" x14ac:dyDescent="0.3">
      <c r="C60" s="451" t="s">
        <v>469</v>
      </c>
      <c r="D60" s="451" t="s">
        <v>421</v>
      </c>
      <c r="E60" s="451">
        <v>2000</v>
      </c>
      <c r="F60" t="s">
        <v>906</v>
      </c>
      <c r="G60" s="974" t="s">
        <v>914</v>
      </c>
      <c r="H60"/>
    </row>
    <row r="61" spans="1:8" x14ac:dyDescent="0.3">
      <c r="C61" s="451" t="s">
        <v>168</v>
      </c>
      <c r="D61" s="451" t="s">
        <v>416</v>
      </c>
      <c r="E61" s="451">
        <v>2000</v>
      </c>
      <c r="F61" t="s">
        <v>906</v>
      </c>
      <c r="G61" s="974" t="s">
        <v>915</v>
      </c>
      <c r="H61"/>
    </row>
    <row r="62" spans="1:8" x14ac:dyDescent="0.3">
      <c r="C62" s="451" t="s">
        <v>182</v>
      </c>
      <c r="D62" s="451" t="s">
        <v>420</v>
      </c>
      <c r="E62" s="451">
        <v>2000</v>
      </c>
      <c r="F62" t="s">
        <v>906</v>
      </c>
      <c r="G62" s="974" t="s">
        <v>915</v>
      </c>
      <c r="H62"/>
    </row>
    <row r="63" spans="1:8" x14ac:dyDescent="0.3">
      <c r="C63" s="451" t="s">
        <v>189</v>
      </c>
      <c r="D63" s="451" t="s">
        <v>423</v>
      </c>
      <c r="E63" s="451">
        <v>2000</v>
      </c>
      <c r="F63" t="s">
        <v>906</v>
      </c>
      <c r="G63" s="974" t="s">
        <v>915</v>
      </c>
      <c r="H63"/>
    </row>
    <row r="64" spans="1:8" x14ac:dyDescent="0.3">
      <c r="C64"/>
      <c r="D64"/>
      <c r="E64" s="976">
        <f>SUM(E52:E63)</f>
        <v>24000</v>
      </c>
      <c r="F64" s="977" t="s">
        <v>534</v>
      </c>
      <c r="G64"/>
      <c r="H64"/>
    </row>
    <row r="65" spans="3:8" x14ac:dyDescent="0.3">
      <c r="C65"/>
      <c r="D65"/>
      <c r="E65" s="976">
        <f>E64*12</f>
        <v>288000</v>
      </c>
      <c r="F65" s="977" t="s">
        <v>1004</v>
      </c>
      <c r="G65"/>
      <c r="H65"/>
    </row>
    <row r="66" spans="3:8" x14ac:dyDescent="0.3">
      <c r="C66" s="978" t="s">
        <v>965</v>
      </c>
      <c r="D66"/>
      <c r="E66"/>
      <c r="F66"/>
      <c r="G66"/>
      <c r="H66"/>
    </row>
    <row r="67" spans="3:8" x14ac:dyDescent="0.3">
      <c r="C67" s="40" t="s">
        <v>916</v>
      </c>
    </row>
  </sheetData>
  <conditionalFormatting sqref="L2:L3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{7323F866-F70F-4628-94E5-F013C8105F08}</x14:id>
        </ext>
      </extLst>
    </cfRule>
  </conditionalFormatting>
  <conditionalFormatting sqref="P2:P3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{6BB004E2-5604-44AA-9DD2-0F47B2C3150E}</x14:id>
        </ext>
      </extLst>
    </cfRule>
  </conditionalFormatting>
  <pageMargins left="0.7" right="0.7" top="0.78740157499999996" bottom="0.78740157499999996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23F866-F70F-4628-94E5-F013C8105F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L2:L39</xm:sqref>
        </x14:conditionalFormatting>
        <x14:conditionalFormatting xmlns:xm="http://schemas.microsoft.com/office/excel/2006/main">
          <x14:cfRule type="dataBar" id="{6BB004E2-5604-44AA-9DD2-0F47B2C315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P2:P35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F161"/>
  <sheetViews>
    <sheetView topLeftCell="A124" workbookViewId="0">
      <selection activeCell="H158" sqref="H158"/>
    </sheetView>
  </sheetViews>
  <sheetFormatPr defaultColWidth="9.109375" defaultRowHeight="15.6" x14ac:dyDescent="0.3"/>
  <cols>
    <col min="1" max="1" width="6.5546875" style="1" customWidth="1"/>
    <col min="2" max="2" width="13.5546875" style="1" customWidth="1"/>
    <col min="3" max="3" width="13.44140625" style="1" customWidth="1"/>
    <col min="4" max="4" width="41" style="1" customWidth="1"/>
    <col min="5" max="5" width="10.6640625" style="1" customWidth="1"/>
    <col min="6" max="6" width="11.6640625" style="1" customWidth="1"/>
    <col min="7" max="7" width="11" style="1" customWidth="1"/>
    <col min="8" max="8" width="15.6640625" style="1" customWidth="1"/>
    <col min="9" max="9" width="8" style="3" customWidth="1"/>
    <col min="10" max="10" width="13" style="3" customWidth="1"/>
    <col min="11" max="11" width="10.88671875" style="1" customWidth="1"/>
    <col min="12" max="12" width="12.6640625" style="1" customWidth="1"/>
    <col min="13" max="13" width="12.33203125" style="1" customWidth="1"/>
    <col min="14" max="14" width="12.5546875" style="1" customWidth="1"/>
    <col min="15" max="15" width="11.109375" style="1" customWidth="1"/>
    <col min="16" max="16" width="12.5546875" style="1" customWidth="1"/>
    <col min="17" max="17" width="11.88671875" style="1" customWidth="1"/>
    <col min="18" max="18" width="9" style="1" customWidth="1"/>
    <col min="19" max="19" width="9.6640625" style="1" bestFit="1" customWidth="1"/>
    <col min="20" max="21" width="8.109375" style="1" customWidth="1"/>
    <col min="22" max="16384" width="9.109375" style="1"/>
  </cols>
  <sheetData>
    <row r="1" spans="1:240" ht="27" customHeight="1" thickBot="1" x14ac:dyDescent="0.35">
      <c r="A1" s="508" t="s">
        <v>121</v>
      </c>
      <c r="B1" s="509" t="s">
        <v>28</v>
      </c>
      <c r="C1" s="508" t="s">
        <v>29</v>
      </c>
      <c r="D1" s="510" t="s">
        <v>13</v>
      </c>
      <c r="E1" s="511" t="s">
        <v>14</v>
      </c>
      <c r="F1" s="512" t="s">
        <v>292</v>
      </c>
      <c r="G1" s="511" t="s">
        <v>293</v>
      </c>
      <c r="H1" s="513" t="s">
        <v>15</v>
      </c>
      <c r="I1" s="31"/>
      <c r="J1" s="1"/>
      <c r="L1" s="90"/>
      <c r="M1" s="93"/>
      <c r="N1" s="66"/>
      <c r="O1" s="38"/>
      <c r="P1" s="66"/>
      <c r="Q1" s="66"/>
      <c r="R1" s="38"/>
      <c r="S1" s="63"/>
      <c r="T1" s="118"/>
      <c r="U1" s="118"/>
      <c r="V1" s="92"/>
      <c r="W1" s="92"/>
      <c r="X1" s="92"/>
      <c r="Y1" s="92"/>
      <c r="Z1" s="92"/>
      <c r="AA1" s="92"/>
      <c r="AB1" s="92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P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C1" s="64"/>
      <c r="ID1" s="64"/>
      <c r="IE1" s="64"/>
      <c r="IF1" s="64"/>
    </row>
    <row r="2" spans="1:240" s="27" customFormat="1" ht="16.2" thickTop="1" x14ac:dyDescent="0.3">
      <c r="A2" s="501">
        <v>1</v>
      </c>
      <c r="B2" s="597" t="s">
        <v>16</v>
      </c>
      <c r="C2" s="501">
        <v>-1</v>
      </c>
      <c r="D2" s="814" t="s">
        <v>98</v>
      </c>
      <c r="E2" s="502">
        <v>16.2</v>
      </c>
      <c r="F2" s="979">
        <v>1</v>
      </c>
      <c r="G2" s="979">
        <v>1</v>
      </c>
      <c r="H2" s="980">
        <v>7625</v>
      </c>
      <c r="I2" s="1"/>
      <c r="J2" s="4"/>
      <c r="K2" s="4"/>
      <c r="M2" s="69"/>
      <c r="N2" s="42"/>
      <c r="O2" s="42"/>
      <c r="P2" s="42"/>
      <c r="Q2" s="42"/>
      <c r="R2" s="42"/>
      <c r="S2" s="42"/>
      <c r="T2" s="69"/>
      <c r="U2" s="42"/>
      <c r="V2" s="42"/>
      <c r="W2" s="42"/>
      <c r="X2" s="42"/>
      <c r="Y2" s="42"/>
      <c r="Z2" s="42"/>
      <c r="AA2" s="42"/>
      <c r="AB2" s="42"/>
    </row>
    <row r="3" spans="1:240" s="27" customFormat="1" x14ac:dyDescent="0.3">
      <c r="A3" s="501">
        <v>1</v>
      </c>
      <c r="B3" s="597" t="s">
        <v>16</v>
      </c>
      <c r="C3" s="501">
        <v>-1</v>
      </c>
      <c r="D3" s="814" t="s">
        <v>108</v>
      </c>
      <c r="E3" s="502">
        <v>11.5</v>
      </c>
      <c r="F3" s="979">
        <v>1</v>
      </c>
      <c r="G3" s="979">
        <v>1</v>
      </c>
      <c r="H3" s="980">
        <v>7625</v>
      </c>
      <c r="I3" s="1"/>
      <c r="J3" s="1"/>
      <c r="K3" s="1"/>
      <c r="L3" s="90"/>
      <c r="M3" s="93"/>
      <c r="N3" s="66"/>
      <c r="O3" s="38"/>
      <c r="P3" s="66"/>
      <c r="Q3" s="66"/>
      <c r="R3" s="38"/>
      <c r="S3" s="63"/>
      <c r="T3" s="118"/>
      <c r="U3" s="118"/>
      <c r="V3" s="42"/>
      <c r="W3" s="42"/>
      <c r="X3" s="42"/>
      <c r="Y3" s="42"/>
      <c r="Z3" s="42"/>
      <c r="AA3" s="42"/>
      <c r="AB3" s="42"/>
    </row>
    <row r="4" spans="1:240" s="27" customFormat="1" x14ac:dyDescent="0.3">
      <c r="A4" s="501">
        <v>1</v>
      </c>
      <c r="B4" s="597" t="s">
        <v>16</v>
      </c>
      <c r="C4" s="501">
        <v>-1</v>
      </c>
      <c r="D4" s="814" t="s">
        <v>71</v>
      </c>
      <c r="E4" s="502">
        <v>17.8</v>
      </c>
      <c r="F4" s="979">
        <v>1</v>
      </c>
      <c r="G4" s="979">
        <v>1</v>
      </c>
      <c r="H4" s="980">
        <v>7640</v>
      </c>
      <c r="I4" s="1"/>
      <c r="J4" s="4"/>
      <c r="K4" s="4"/>
      <c r="M4" s="69"/>
      <c r="N4" s="42"/>
      <c r="O4" s="42"/>
      <c r="P4" s="42"/>
      <c r="Q4" s="42"/>
      <c r="R4" s="42"/>
      <c r="S4" s="42"/>
      <c r="T4" s="69"/>
      <c r="U4" s="42"/>
      <c r="V4" s="42"/>
      <c r="W4" s="42"/>
      <c r="X4" s="42"/>
      <c r="Y4" s="42"/>
      <c r="Z4" s="42"/>
      <c r="AA4" s="42"/>
      <c r="AB4" s="42"/>
    </row>
    <row r="5" spans="1:240" s="27" customFormat="1" x14ac:dyDescent="0.3">
      <c r="A5" s="501">
        <v>1</v>
      </c>
      <c r="B5" s="597" t="s">
        <v>16</v>
      </c>
      <c r="C5" s="501">
        <v>-1</v>
      </c>
      <c r="D5" s="814" t="s">
        <v>85</v>
      </c>
      <c r="E5" s="502">
        <v>41.9</v>
      </c>
      <c r="F5" s="979">
        <v>1</v>
      </c>
      <c r="G5" s="979">
        <v>1</v>
      </c>
      <c r="H5" s="980">
        <v>7640</v>
      </c>
      <c r="I5" s="1"/>
      <c r="J5" s="1"/>
      <c r="K5" s="1"/>
      <c r="L5" s="90"/>
      <c r="M5" s="93"/>
      <c r="N5" s="66"/>
      <c r="O5" s="38"/>
      <c r="P5" s="66"/>
      <c r="Q5" s="66"/>
      <c r="R5" s="38"/>
      <c r="S5" s="63"/>
      <c r="T5" s="118"/>
      <c r="U5" s="118"/>
      <c r="V5" s="42"/>
      <c r="W5" s="42"/>
      <c r="X5" s="42"/>
      <c r="Y5" s="42"/>
      <c r="Z5" s="42"/>
      <c r="AA5" s="42"/>
      <c r="AB5" s="42"/>
    </row>
    <row r="6" spans="1:240" s="27" customFormat="1" x14ac:dyDescent="0.3">
      <c r="A6" s="501">
        <v>1</v>
      </c>
      <c r="B6" s="597" t="s">
        <v>16</v>
      </c>
      <c r="C6" s="501">
        <v>-1</v>
      </c>
      <c r="D6" s="814" t="s">
        <v>99</v>
      </c>
      <c r="E6" s="502">
        <v>3.7</v>
      </c>
      <c r="F6" s="979">
        <v>1</v>
      </c>
      <c r="G6" s="979">
        <v>1</v>
      </c>
      <c r="H6" s="980">
        <v>7635</v>
      </c>
      <c r="I6" s="1"/>
      <c r="J6" s="4"/>
      <c r="K6" s="4"/>
      <c r="M6" s="69"/>
      <c r="N6" s="42"/>
      <c r="O6" s="42"/>
      <c r="P6" s="42"/>
      <c r="Q6" s="42"/>
      <c r="R6" s="42"/>
      <c r="S6" s="42"/>
      <c r="T6" s="69"/>
      <c r="U6" s="42"/>
      <c r="V6" s="42"/>
      <c r="W6" s="42"/>
      <c r="X6" s="42"/>
      <c r="Y6" s="42"/>
      <c r="Z6" s="42"/>
      <c r="AA6" s="42"/>
      <c r="AB6" s="42"/>
    </row>
    <row r="7" spans="1:240" s="27" customFormat="1" x14ac:dyDescent="0.3">
      <c r="A7" s="501">
        <v>1</v>
      </c>
      <c r="B7" s="597" t="s">
        <v>16</v>
      </c>
      <c r="C7" s="501">
        <v>-1</v>
      </c>
      <c r="D7" s="814" t="s">
        <v>99</v>
      </c>
      <c r="E7" s="502">
        <v>9.6</v>
      </c>
      <c r="F7" s="979">
        <v>1</v>
      </c>
      <c r="G7" s="979">
        <v>1</v>
      </c>
      <c r="H7" s="980">
        <v>7635</v>
      </c>
      <c r="I7" s="1"/>
      <c r="J7" s="1"/>
      <c r="K7" s="1"/>
      <c r="L7" s="90"/>
      <c r="M7" s="93"/>
      <c r="N7" s="66"/>
      <c r="O7" s="38"/>
      <c r="P7" s="66"/>
      <c r="Q7" s="66"/>
      <c r="R7" s="38"/>
      <c r="S7" s="63"/>
      <c r="T7" s="118"/>
      <c r="U7" s="118"/>
      <c r="V7" s="42"/>
      <c r="W7" s="42"/>
      <c r="X7" s="42"/>
      <c r="Y7" s="42"/>
      <c r="Z7" s="42"/>
      <c r="AA7" s="42"/>
      <c r="AB7" s="42"/>
    </row>
    <row r="8" spans="1:240" s="27" customFormat="1" x14ac:dyDescent="0.3">
      <c r="A8" s="501">
        <v>1</v>
      </c>
      <c r="B8" s="597" t="s">
        <v>16</v>
      </c>
      <c r="C8" s="501">
        <v>-1</v>
      </c>
      <c r="D8" s="814" t="s">
        <v>76</v>
      </c>
      <c r="E8" s="502">
        <v>13.9</v>
      </c>
      <c r="F8" s="979">
        <v>1</v>
      </c>
      <c r="G8" s="979">
        <v>1</v>
      </c>
      <c r="H8" s="980">
        <v>7635</v>
      </c>
      <c r="I8" s="1"/>
      <c r="J8" s="4"/>
      <c r="K8" s="4"/>
      <c r="M8" s="69"/>
      <c r="N8" s="42"/>
      <c r="O8" s="42"/>
      <c r="P8" s="42"/>
      <c r="Q8" s="42"/>
      <c r="R8" s="42"/>
      <c r="S8" s="42"/>
      <c r="T8" s="69"/>
      <c r="U8" s="42"/>
      <c r="V8" s="42"/>
      <c r="W8" s="42"/>
      <c r="X8" s="42"/>
      <c r="Y8" s="42"/>
      <c r="Z8" s="42"/>
      <c r="AA8" s="42"/>
      <c r="AB8" s="42"/>
    </row>
    <row r="9" spans="1:240" s="27" customFormat="1" x14ac:dyDescent="0.3">
      <c r="A9" s="501">
        <v>1</v>
      </c>
      <c r="B9" s="597" t="s">
        <v>16</v>
      </c>
      <c r="C9" s="501">
        <v>-1</v>
      </c>
      <c r="D9" s="814" t="s">
        <v>50</v>
      </c>
      <c r="E9" s="502">
        <v>10.7</v>
      </c>
      <c r="F9" s="979">
        <v>1</v>
      </c>
      <c r="G9" s="979">
        <v>1</v>
      </c>
      <c r="H9" s="980">
        <v>7635</v>
      </c>
      <c r="I9" s="1"/>
      <c r="J9" s="1"/>
      <c r="K9" s="1"/>
      <c r="L9" s="90"/>
      <c r="M9" s="93"/>
      <c r="N9" s="66"/>
      <c r="O9" s="38"/>
      <c r="P9" s="66"/>
      <c r="Q9" s="66"/>
      <c r="R9" s="38"/>
      <c r="S9" s="63"/>
      <c r="T9" s="118"/>
      <c r="U9" s="118"/>
      <c r="V9" s="42"/>
      <c r="W9" s="42"/>
      <c r="X9" s="42"/>
      <c r="Y9" s="42"/>
      <c r="Z9" s="42"/>
      <c r="AA9" s="42"/>
      <c r="AB9" s="42"/>
    </row>
    <row r="10" spans="1:240" s="27" customFormat="1" x14ac:dyDescent="0.3">
      <c r="A10" s="501">
        <v>1</v>
      </c>
      <c r="B10" s="597" t="s">
        <v>16</v>
      </c>
      <c r="C10" s="501">
        <v>-1</v>
      </c>
      <c r="D10" s="814" t="s">
        <v>826</v>
      </c>
      <c r="E10" s="502">
        <v>118.7</v>
      </c>
      <c r="F10" s="979">
        <v>1</v>
      </c>
      <c r="G10" s="979">
        <v>1</v>
      </c>
      <c r="H10" s="980">
        <v>7630</v>
      </c>
      <c r="I10" s="1"/>
      <c r="J10" s="4"/>
      <c r="K10" s="4"/>
      <c r="M10" s="69"/>
      <c r="N10" s="42"/>
      <c r="O10" s="42"/>
      <c r="P10" s="42"/>
      <c r="Q10" s="42"/>
      <c r="R10" s="42"/>
      <c r="S10" s="42"/>
      <c r="T10" s="69"/>
      <c r="U10" s="42"/>
      <c r="V10" s="42"/>
      <c r="W10" s="42"/>
      <c r="X10" s="42"/>
      <c r="Y10" s="42"/>
      <c r="Z10" s="42"/>
      <c r="AA10" s="42"/>
      <c r="AB10" s="42"/>
    </row>
    <row r="11" spans="1:240" s="27" customFormat="1" x14ac:dyDescent="0.3">
      <c r="A11" s="501">
        <v>1</v>
      </c>
      <c r="B11" s="597" t="s">
        <v>16</v>
      </c>
      <c r="C11" s="501">
        <v>-1</v>
      </c>
      <c r="D11" s="814" t="s">
        <v>827</v>
      </c>
      <c r="E11" s="502">
        <v>53.4</v>
      </c>
      <c r="F11" s="979">
        <v>1</v>
      </c>
      <c r="G11" s="979">
        <v>1</v>
      </c>
      <c r="H11" s="980">
        <v>7630</v>
      </c>
      <c r="I11" s="1"/>
      <c r="J11" s="1"/>
      <c r="K11" s="1"/>
      <c r="L11" s="90"/>
      <c r="M11" s="93"/>
      <c r="N11" s="66"/>
      <c r="O11" s="38"/>
      <c r="P11" s="66"/>
      <c r="Q11" s="66"/>
      <c r="R11" s="38"/>
      <c r="S11" s="63"/>
      <c r="T11" s="118"/>
      <c r="U11" s="118"/>
      <c r="V11" s="42"/>
      <c r="W11" s="42"/>
      <c r="X11" s="42"/>
      <c r="Y11" s="42"/>
      <c r="Z11" s="42"/>
      <c r="AA11" s="42"/>
      <c r="AB11" s="42"/>
    </row>
    <row r="12" spans="1:240" s="27" customFormat="1" x14ac:dyDescent="0.3">
      <c r="A12" s="501">
        <v>1</v>
      </c>
      <c r="B12" s="597" t="s">
        <v>16</v>
      </c>
      <c r="C12" s="501">
        <v>-1</v>
      </c>
      <c r="D12" s="814" t="s">
        <v>828</v>
      </c>
      <c r="E12" s="502">
        <v>34.75</v>
      </c>
      <c r="F12" s="979">
        <v>1</v>
      </c>
      <c r="G12" s="979">
        <v>1</v>
      </c>
      <c r="H12" s="980">
        <v>7630</v>
      </c>
      <c r="I12" s="1"/>
      <c r="J12" s="4"/>
      <c r="K12" s="4"/>
      <c r="M12" s="69"/>
      <c r="N12" s="42"/>
      <c r="O12" s="42"/>
      <c r="P12" s="42"/>
      <c r="Q12" s="42"/>
      <c r="R12" s="42"/>
      <c r="S12" s="42"/>
      <c r="T12" s="69"/>
      <c r="U12" s="42"/>
      <c r="V12" s="42"/>
      <c r="W12" s="42"/>
      <c r="X12" s="42"/>
      <c r="Y12" s="42"/>
      <c r="Z12" s="42"/>
      <c r="AA12" s="42"/>
      <c r="AB12" s="42"/>
    </row>
    <row r="13" spans="1:240" s="27" customFormat="1" x14ac:dyDescent="0.3">
      <c r="A13" s="501">
        <v>1</v>
      </c>
      <c r="B13" s="597" t="s">
        <v>16</v>
      </c>
      <c r="C13" s="501">
        <v>1</v>
      </c>
      <c r="D13" s="814" t="s">
        <v>71</v>
      </c>
      <c r="E13" s="503">
        <v>30.6</v>
      </c>
      <c r="F13" s="979">
        <v>1</v>
      </c>
      <c r="G13" s="979">
        <v>1</v>
      </c>
      <c r="H13" s="980">
        <v>7640</v>
      </c>
      <c r="I13" s="1"/>
      <c r="J13" s="4"/>
      <c r="K13" s="4"/>
      <c r="M13" s="69"/>
      <c r="N13" s="42"/>
      <c r="O13" s="42"/>
      <c r="P13" s="42"/>
      <c r="Q13" s="42"/>
      <c r="R13" s="42"/>
      <c r="S13" s="42"/>
      <c r="T13" s="69"/>
      <c r="U13" s="42"/>
      <c r="V13" s="42"/>
      <c r="W13" s="42"/>
      <c r="X13" s="42"/>
      <c r="Y13" s="42"/>
      <c r="Z13" s="42"/>
      <c r="AA13" s="42"/>
      <c r="AB13" s="42"/>
    </row>
    <row r="14" spans="1:240" s="27" customFormat="1" x14ac:dyDescent="0.3">
      <c r="A14" s="501">
        <v>1</v>
      </c>
      <c r="B14" s="597" t="s">
        <v>16</v>
      </c>
      <c r="C14" s="501">
        <v>1</v>
      </c>
      <c r="D14" s="814" t="s">
        <v>71</v>
      </c>
      <c r="E14" s="503">
        <v>12.6</v>
      </c>
      <c r="F14" s="979">
        <v>1</v>
      </c>
      <c r="G14" s="979">
        <v>1</v>
      </c>
      <c r="H14" s="981">
        <v>7640</v>
      </c>
      <c r="I14" s="1"/>
      <c r="J14" s="4"/>
      <c r="K14" s="4"/>
      <c r="M14" s="69"/>
      <c r="N14" s="42"/>
      <c r="O14" s="42"/>
      <c r="P14" s="42"/>
      <c r="Q14" s="42"/>
      <c r="R14" s="42"/>
      <c r="S14" s="42"/>
      <c r="T14" s="69"/>
      <c r="U14" s="42"/>
      <c r="V14" s="42"/>
      <c r="W14" s="42"/>
      <c r="X14" s="42"/>
      <c r="Y14" s="42"/>
      <c r="Z14" s="42"/>
      <c r="AA14" s="42"/>
      <c r="AB14" s="42"/>
    </row>
    <row r="15" spans="1:240" s="27" customFormat="1" x14ac:dyDescent="0.3">
      <c r="A15" s="501">
        <v>1</v>
      </c>
      <c r="B15" s="597" t="s">
        <v>16</v>
      </c>
      <c r="C15" s="501">
        <v>1</v>
      </c>
      <c r="D15" s="814" t="s">
        <v>829</v>
      </c>
      <c r="E15" s="503">
        <v>133.19999999999999</v>
      </c>
      <c r="F15" s="979">
        <v>1</v>
      </c>
      <c r="G15" s="979">
        <v>1</v>
      </c>
      <c r="H15" s="980">
        <v>7630</v>
      </c>
      <c r="I15" s="1"/>
      <c r="J15" s="1"/>
      <c r="K15" s="1"/>
      <c r="L15" s="90"/>
      <c r="M15" s="93"/>
      <c r="N15" s="66"/>
      <c r="O15" s="38"/>
      <c r="P15" s="66"/>
      <c r="Q15" s="66"/>
      <c r="R15" s="38"/>
      <c r="S15" s="63"/>
      <c r="T15" s="118"/>
      <c r="U15" s="118"/>
      <c r="V15" s="42"/>
      <c r="W15" s="42"/>
      <c r="X15" s="42"/>
      <c r="Y15" s="42"/>
      <c r="Z15" s="42"/>
      <c r="AA15" s="42"/>
      <c r="AB15" s="42"/>
    </row>
    <row r="16" spans="1:240" s="27" customFormat="1" x14ac:dyDescent="0.3">
      <c r="A16" s="501">
        <v>1</v>
      </c>
      <c r="B16" s="597" t="s">
        <v>16</v>
      </c>
      <c r="C16" s="501">
        <v>1</v>
      </c>
      <c r="D16" s="814" t="s">
        <v>50</v>
      </c>
      <c r="E16" s="503">
        <v>35.200000000000003</v>
      </c>
      <c r="F16" s="979">
        <v>1</v>
      </c>
      <c r="G16" s="979">
        <v>1</v>
      </c>
      <c r="H16" s="981">
        <v>7635</v>
      </c>
      <c r="I16" s="1"/>
      <c r="J16" s="4"/>
      <c r="K16" s="4"/>
      <c r="M16" s="69"/>
      <c r="N16" s="42"/>
      <c r="O16" s="42"/>
      <c r="P16" s="42"/>
      <c r="Q16" s="42"/>
      <c r="R16" s="42"/>
      <c r="S16" s="42"/>
      <c r="T16" s="69"/>
      <c r="U16" s="42"/>
      <c r="V16" s="42"/>
      <c r="W16" s="42"/>
      <c r="X16" s="118"/>
      <c r="Y16" s="42"/>
      <c r="Z16" s="42"/>
      <c r="AA16" s="42"/>
      <c r="AB16" s="42"/>
    </row>
    <row r="17" spans="1:28" s="27" customFormat="1" x14ac:dyDescent="0.3">
      <c r="A17" s="501">
        <v>1</v>
      </c>
      <c r="B17" s="597" t="s">
        <v>16</v>
      </c>
      <c r="C17" s="501">
        <v>1</v>
      </c>
      <c r="D17" s="814" t="s">
        <v>263</v>
      </c>
      <c r="E17" s="503">
        <v>56.3</v>
      </c>
      <c r="F17" s="979">
        <v>1</v>
      </c>
      <c r="G17" s="979">
        <v>1</v>
      </c>
      <c r="H17" s="980">
        <v>7630</v>
      </c>
      <c r="I17" s="1"/>
      <c r="J17" s="1"/>
      <c r="K17" s="1"/>
      <c r="L17" s="90"/>
      <c r="M17" s="93"/>
      <c r="N17" s="66"/>
      <c r="O17" s="38"/>
      <c r="P17" s="66"/>
      <c r="Q17" s="66"/>
      <c r="R17" s="38"/>
      <c r="S17" s="63"/>
      <c r="T17" s="118"/>
      <c r="U17" s="118"/>
      <c r="V17" s="42"/>
      <c r="W17" s="42"/>
      <c r="X17" s="118"/>
      <c r="Y17" s="42"/>
      <c r="Z17" s="42"/>
      <c r="AA17" s="42"/>
      <c r="AB17" s="42"/>
    </row>
    <row r="18" spans="1:28" s="27" customFormat="1" x14ac:dyDescent="0.3">
      <c r="A18" s="501">
        <v>1</v>
      </c>
      <c r="B18" s="597" t="s">
        <v>16</v>
      </c>
      <c r="C18" s="501">
        <v>1</v>
      </c>
      <c r="D18" s="814" t="s">
        <v>50</v>
      </c>
      <c r="E18" s="503">
        <v>35.299999999999997</v>
      </c>
      <c r="F18" s="979">
        <v>1</v>
      </c>
      <c r="G18" s="979">
        <v>1</v>
      </c>
      <c r="H18" s="980">
        <v>7635</v>
      </c>
      <c r="I18" s="1"/>
      <c r="J18" s="4"/>
      <c r="K18" s="4"/>
      <c r="M18" s="69"/>
      <c r="N18" s="42"/>
      <c r="O18" s="42"/>
      <c r="P18" s="42"/>
      <c r="Q18" s="42"/>
      <c r="R18" s="42"/>
      <c r="S18" s="42"/>
      <c r="T18" s="69"/>
      <c r="U18" s="42"/>
      <c r="V18" s="42"/>
      <c r="W18" s="42"/>
      <c r="X18" s="118"/>
      <c r="Y18" s="42"/>
      <c r="Z18" s="42"/>
      <c r="AA18" s="42"/>
      <c r="AB18" s="42"/>
    </row>
    <row r="19" spans="1:28" s="27" customFormat="1" x14ac:dyDescent="0.3">
      <c r="A19" s="501">
        <v>1</v>
      </c>
      <c r="B19" s="597" t="s">
        <v>16</v>
      </c>
      <c r="C19" s="501">
        <v>1</v>
      </c>
      <c r="D19" s="814" t="s">
        <v>50</v>
      </c>
      <c r="E19" s="503">
        <v>35.9</v>
      </c>
      <c r="F19" s="979">
        <v>1</v>
      </c>
      <c r="G19" s="979">
        <v>1</v>
      </c>
      <c r="H19" s="980">
        <v>7635</v>
      </c>
      <c r="I19" s="1"/>
      <c r="J19" s="1"/>
      <c r="K19" s="1"/>
      <c r="L19" s="90"/>
      <c r="M19" s="93"/>
      <c r="N19" s="66"/>
      <c r="O19" s="38"/>
      <c r="P19" s="66"/>
      <c r="Q19" s="66"/>
      <c r="R19" s="38"/>
      <c r="S19" s="63"/>
      <c r="T19" s="118"/>
      <c r="U19" s="118"/>
      <c r="V19" s="42"/>
      <c r="W19" s="42"/>
      <c r="X19" s="118"/>
      <c r="Y19" s="42"/>
      <c r="Z19" s="42"/>
      <c r="AA19" s="42"/>
      <c r="AB19" s="42"/>
    </row>
    <row r="20" spans="1:28" s="27" customFormat="1" x14ac:dyDescent="0.3">
      <c r="A20" s="501">
        <v>1</v>
      </c>
      <c r="B20" s="597" t="s">
        <v>16</v>
      </c>
      <c r="C20" s="501">
        <v>1</v>
      </c>
      <c r="D20" s="814" t="s">
        <v>287</v>
      </c>
      <c r="E20" s="503">
        <v>34.700000000000003</v>
      </c>
      <c r="F20" s="979">
        <v>1</v>
      </c>
      <c r="G20" s="979">
        <v>1</v>
      </c>
      <c r="H20" s="980">
        <v>7635</v>
      </c>
      <c r="I20" s="1"/>
      <c r="J20" s="4"/>
      <c r="K20" s="4"/>
      <c r="M20" s="69"/>
      <c r="N20" s="42"/>
      <c r="O20" s="42"/>
      <c r="P20" s="42"/>
      <c r="Q20" s="42"/>
      <c r="R20" s="42"/>
      <c r="S20" s="42"/>
      <c r="T20" s="69"/>
      <c r="U20" s="42"/>
      <c r="V20" s="42"/>
      <c r="W20" s="42"/>
      <c r="X20" s="118"/>
      <c r="Y20" s="42"/>
      <c r="Z20" s="42"/>
      <c r="AA20" s="42"/>
      <c r="AB20" s="42"/>
    </row>
    <row r="21" spans="1:28" s="27" customFormat="1" x14ac:dyDescent="0.3">
      <c r="A21" s="501">
        <v>1</v>
      </c>
      <c r="B21" s="597" t="s">
        <v>16</v>
      </c>
      <c r="C21" s="501">
        <v>1</v>
      </c>
      <c r="D21" s="814" t="s">
        <v>50</v>
      </c>
      <c r="E21" s="503">
        <v>17.899999999999999</v>
      </c>
      <c r="F21" s="979">
        <v>1</v>
      </c>
      <c r="G21" s="979">
        <v>1</v>
      </c>
      <c r="H21" s="980">
        <v>7635</v>
      </c>
      <c r="I21" s="1"/>
      <c r="J21" s="1"/>
      <c r="K21" s="1"/>
      <c r="L21" s="90"/>
      <c r="M21" s="93"/>
      <c r="N21" s="66"/>
      <c r="O21" s="38"/>
      <c r="P21" s="66"/>
      <c r="Q21" s="66"/>
      <c r="R21" s="38"/>
      <c r="S21" s="63"/>
      <c r="T21" s="118"/>
      <c r="U21" s="118"/>
      <c r="V21" s="42"/>
      <c r="W21" s="42"/>
      <c r="X21" s="118"/>
      <c r="Y21" s="42"/>
      <c r="Z21" s="42"/>
      <c r="AA21" s="42"/>
      <c r="AB21" s="42"/>
    </row>
    <row r="22" spans="1:28" s="27" customFormat="1" x14ac:dyDescent="0.3">
      <c r="A22" s="501">
        <v>1</v>
      </c>
      <c r="B22" s="597" t="s">
        <v>16</v>
      </c>
      <c r="C22" s="501">
        <v>1</v>
      </c>
      <c r="D22" s="814" t="s">
        <v>50</v>
      </c>
      <c r="E22" s="503">
        <v>18.600000000000001</v>
      </c>
      <c r="F22" s="979">
        <v>1</v>
      </c>
      <c r="G22" s="979">
        <v>1</v>
      </c>
      <c r="H22" s="980">
        <v>7635</v>
      </c>
      <c r="I22" s="1"/>
      <c r="J22" s="4"/>
      <c r="K22" s="4"/>
      <c r="M22" s="69"/>
      <c r="N22" s="42"/>
      <c r="O22" s="42"/>
      <c r="P22" s="42"/>
      <c r="Q22" s="42"/>
      <c r="R22" s="42"/>
      <c r="S22" s="42"/>
      <c r="T22" s="69"/>
      <c r="U22" s="42"/>
      <c r="V22" s="42"/>
      <c r="W22" s="42"/>
      <c r="X22" s="118"/>
      <c r="Y22" s="42"/>
      <c r="Z22" s="42"/>
      <c r="AA22" s="42"/>
      <c r="AB22" s="42"/>
    </row>
    <row r="23" spans="1:28" s="27" customFormat="1" x14ac:dyDescent="0.3">
      <c r="A23" s="501">
        <v>1</v>
      </c>
      <c r="B23" s="597" t="s">
        <v>16</v>
      </c>
      <c r="C23" s="501">
        <v>1</v>
      </c>
      <c r="D23" s="814" t="s">
        <v>62</v>
      </c>
      <c r="E23" s="503">
        <v>32.799999999999997</v>
      </c>
      <c r="F23" s="979">
        <v>1</v>
      </c>
      <c r="G23" s="979">
        <v>1</v>
      </c>
      <c r="H23" s="980">
        <v>7635</v>
      </c>
      <c r="I23" s="1"/>
      <c r="J23" s="1"/>
      <c r="K23" s="1"/>
      <c r="L23" s="90"/>
      <c r="M23" s="93"/>
      <c r="N23" s="66"/>
      <c r="O23" s="38"/>
      <c r="P23" s="66"/>
      <c r="Q23" s="66"/>
      <c r="R23" s="38"/>
      <c r="S23" s="63"/>
      <c r="T23" s="118"/>
      <c r="U23" s="118"/>
      <c r="V23" s="42"/>
      <c r="W23" s="42"/>
      <c r="X23" s="118"/>
      <c r="Y23" s="42"/>
      <c r="Z23" s="42"/>
      <c r="AA23" s="42"/>
      <c r="AB23" s="42"/>
    </row>
    <row r="24" spans="1:28" s="27" customFormat="1" x14ac:dyDescent="0.3">
      <c r="A24" s="501">
        <v>1</v>
      </c>
      <c r="B24" s="597" t="s">
        <v>16</v>
      </c>
      <c r="C24" s="501">
        <v>1</v>
      </c>
      <c r="D24" s="814" t="s">
        <v>830</v>
      </c>
      <c r="E24" s="503">
        <v>72.2</v>
      </c>
      <c r="F24" s="979">
        <v>1</v>
      </c>
      <c r="G24" s="979">
        <v>1</v>
      </c>
      <c r="H24" s="980">
        <v>7630</v>
      </c>
      <c r="I24" s="1"/>
      <c r="J24" s="4"/>
      <c r="K24" s="4"/>
      <c r="M24" s="69"/>
      <c r="N24" s="42"/>
      <c r="O24" s="42"/>
      <c r="P24" s="42"/>
      <c r="Q24" s="42"/>
      <c r="R24" s="42"/>
      <c r="S24" s="42"/>
      <c r="T24" s="69"/>
      <c r="U24" s="42"/>
      <c r="V24" s="42"/>
      <c r="W24" s="42"/>
      <c r="X24" s="118"/>
      <c r="Y24" s="42"/>
      <c r="Z24" s="42"/>
      <c r="AA24" s="42"/>
      <c r="AB24" s="42"/>
    </row>
    <row r="25" spans="1:28" s="27" customFormat="1" x14ac:dyDescent="0.3">
      <c r="A25" s="501">
        <v>1</v>
      </c>
      <c r="B25" s="597" t="s">
        <v>16</v>
      </c>
      <c r="C25" s="501">
        <v>1</v>
      </c>
      <c r="D25" s="814" t="s">
        <v>831</v>
      </c>
      <c r="E25" s="503">
        <v>58.8</v>
      </c>
      <c r="F25" s="979">
        <v>1</v>
      </c>
      <c r="G25" s="979">
        <v>1</v>
      </c>
      <c r="H25" s="981">
        <v>7630</v>
      </c>
      <c r="I25" s="1"/>
      <c r="J25" s="1"/>
      <c r="K25" s="1"/>
      <c r="L25" s="90"/>
      <c r="M25" s="93"/>
      <c r="N25" s="66"/>
      <c r="O25" s="38"/>
      <c r="P25" s="66"/>
      <c r="Q25" s="66"/>
      <c r="R25" s="38"/>
      <c r="S25" s="63"/>
      <c r="T25" s="118"/>
      <c r="U25" s="118"/>
      <c r="V25" s="42"/>
      <c r="W25" s="42"/>
      <c r="X25" s="118"/>
      <c r="Y25" s="42"/>
      <c r="Z25" s="42"/>
      <c r="AA25" s="42"/>
      <c r="AB25" s="42"/>
    </row>
    <row r="26" spans="1:28" s="27" customFormat="1" x14ac:dyDescent="0.3">
      <c r="A26" s="501">
        <v>1</v>
      </c>
      <c r="B26" s="597" t="s">
        <v>16</v>
      </c>
      <c r="C26" s="501">
        <v>1</v>
      </c>
      <c r="D26" s="814" t="s">
        <v>832</v>
      </c>
      <c r="E26" s="503">
        <v>37.450000000000003</v>
      </c>
      <c r="F26" s="979">
        <v>1</v>
      </c>
      <c r="G26" s="979">
        <v>1</v>
      </c>
      <c r="H26" s="980">
        <v>7630</v>
      </c>
      <c r="I26" s="1"/>
      <c r="J26" s="4"/>
      <c r="K26" s="4"/>
      <c r="M26" s="69"/>
      <c r="N26" s="42"/>
      <c r="O26" s="42"/>
      <c r="P26" s="42"/>
      <c r="Q26" s="42"/>
      <c r="R26" s="42"/>
      <c r="S26" s="42"/>
      <c r="T26" s="69"/>
      <c r="U26" s="42"/>
      <c r="V26" s="42"/>
      <c r="W26" s="42"/>
      <c r="X26" s="118"/>
      <c r="Y26" s="42"/>
      <c r="Z26" s="42"/>
      <c r="AA26" s="42"/>
      <c r="AB26" s="42"/>
    </row>
    <row r="27" spans="1:28" s="27" customFormat="1" x14ac:dyDescent="0.3">
      <c r="A27" s="501">
        <v>1</v>
      </c>
      <c r="B27" s="597" t="s">
        <v>16</v>
      </c>
      <c r="C27" s="501">
        <v>1</v>
      </c>
      <c r="D27" s="814" t="s">
        <v>833</v>
      </c>
      <c r="E27" s="503">
        <v>60.5</v>
      </c>
      <c r="F27" s="979">
        <v>1</v>
      </c>
      <c r="G27" s="979">
        <v>1</v>
      </c>
      <c r="H27" s="980">
        <v>7630</v>
      </c>
      <c r="I27" s="1"/>
      <c r="J27" s="1"/>
      <c r="K27" s="1"/>
      <c r="L27" s="90"/>
      <c r="M27" s="93"/>
      <c r="N27" s="66"/>
      <c r="O27" s="38"/>
      <c r="P27" s="66"/>
      <c r="Q27" s="66"/>
      <c r="R27" s="38"/>
      <c r="S27" s="63"/>
      <c r="T27" s="118"/>
      <c r="U27" s="118"/>
      <c r="V27" s="42"/>
      <c r="W27" s="42"/>
      <c r="X27" s="118"/>
      <c r="Y27" s="42"/>
      <c r="Z27" s="42"/>
      <c r="AA27" s="42"/>
      <c r="AB27" s="42"/>
    </row>
    <row r="28" spans="1:28" s="27" customFormat="1" x14ac:dyDescent="0.3">
      <c r="A28" s="501">
        <v>1</v>
      </c>
      <c r="B28" s="597" t="s">
        <v>16</v>
      </c>
      <c r="C28" s="501">
        <v>1</v>
      </c>
      <c r="D28" s="814" t="s">
        <v>834</v>
      </c>
      <c r="E28" s="503">
        <v>53.3</v>
      </c>
      <c r="F28" s="979">
        <v>1</v>
      </c>
      <c r="G28" s="979">
        <v>1</v>
      </c>
      <c r="H28" s="981">
        <v>7620</v>
      </c>
      <c r="I28" s="1"/>
      <c r="J28" s="4"/>
      <c r="K28" s="4"/>
      <c r="M28" s="69"/>
      <c r="N28" s="42"/>
      <c r="O28" s="42"/>
      <c r="P28" s="42"/>
      <c r="Q28" s="42"/>
      <c r="R28" s="42"/>
      <c r="S28" s="42"/>
      <c r="T28" s="69"/>
      <c r="U28" s="42"/>
      <c r="V28" s="42"/>
      <c r="W28" s="42"/>
      <c r="X28" s="51"/>
      <c r="Y28" s="42"/>
      <c r="Z28" s="42"/>
      <c r="AA28" s="42"/>
      <c r="AB28" s="42"/>
    </row>
    <row r="29" spans="1:28" s="27" customFormat="1" x14ac:dyDescent="0.3">
      <c r="A29" s="501">
        <v>1</v>
      </c>
      <c r="B29" s="597" t="s">
        <v>16</v>
      </c>
      <c r="C29" s="501">
        <v>1</v>
      </c>
      <c r="D29" s="814" t="s">
        <v>288</v>
      </c>
      <c r="E29" s="503">
        <v>15.9</v>
      </c>
      <c r="F29" s="979">
        <v>1</v>
      </c>
      <c r="G29" s="979">
        <v>1</v>
      </c>
      <c r="H29" s="981">
        <v>7635</v>
      </c>
      <c r="I29" s="1"/>
      <c r="J29" s="1"/>
      <c r="K29" s="1"/>
      <c r="L29" s="90"/>
      <c r="M29" s="93"/>
      <c r="N29" s="66"/>
      <c r="O29" s="38"/>
      <c r="P29" s="66"/>
      <c r="Q29" s="66"/>
      <c r="R29" s="38"/>
      <c r="S29" s="63"/>
      <c r="T29" s="118"/>
      <c r="U29" s="118"/>
      <c r="V29" s="42"/>
      <c r="W29" s="42"/>
      <c r="X29" s="42"/>
      <c r="Y29" s="42"/>
      <c r="Z29" s="42"/>
      <c r="AA29" s="42"/>
      <c r="AB29" s="42"/>
    </row>
    <row r="30" spans="1:28" s="27" customFormat="1" x14ac:dyDescent="0.3">
      <c r="A30" s="501">
        <v>1</v>
      </c>
      <c r="B30" s="597" t="s">
        <v>16</v>
      </c>
      <c r="C30" s="501">
        <v>1</v>
      </c>
      <c r="D30" s="814" t="s">
        <v>50</v>
      </c>
      <c r="E30" s="503">
        <v>23.4</v>
      </c>
      <c r="F30" s="979">
        <v>1</v>
      </c>
      <c r="G30" s="979">
        <v>1</v>
      </c>
      <c r="H30" s="980">
        <v>7635</v>
      </c>
      <c r="I30" s="1"/>
      <c r="J30" s="4"/>
      <c r="K30" s="4"/>
      <c r="M30" s="69"/>
      <c r="N30" s="42"/>
      <c r="O30" s="42"/>
      <c r="P30" s="42"/>
      <c r="Q30" s="42"/>
      <c r="R30" s="42"/>
      <c r="S30" s="42"/>
      <c r="T30" s="69"/>
      <c r="U30" s="42"/>
      <c r="V30" s="42"/>
      <c r="W30" s="42"/>
      <c r="X30" s="42"/>
      <c r="Y30" s="42"/>
      <c r="Z30" s="42"/>
      <c r="AA30" s="42"/>
      <c r="AB30" s="42"/>
    </row>
    <row r="31" spans="1:28" s="27" customFormat="1" x14ac:dyDescent="0.3">
      <c r="A31" s="501">
        <v>1</v>
      </c>
      <c r="B31" s="597" t="s">
        <v>16</v>
      </c>
      <c r="C31" s="501">
        <v>1</v>
      </c>
      <c r="D31" s="814" t="s">
        <v>50</v>
      </c>
      <c r="E31" s="503">
        <v>38.4</v>
      </c>
      <c r="F31" s="979">
        <v>1</v>
      </c>
      <c r="G31" s="979">
        <v>1</v>
      </c>
      <c r="H31" s="980">
        <v>7635</v>
      </c>
      <c r="I31" s="1"/>
      <c r="J31" s="1"/>
      <c r="K31" s="1"/>
      <c r="L31" s="90"/>
      <c r="M31" s="93"/>
      <c r="N31" s="66"/>
      <c r="O31" s="38"/>
      <c r="P31" s="66"/>
      <c r="Q31" s="66"/>
      <c r="R31" s="38"/>
      <c r="S31" s="63"/>
      <c r="T31" s="118"/>
      <c r="U31" s="118"/>
      <c r="V31" s="42"/>
      <c r="W31" s="42"/>
      <c r="X31" s="42"/>
      <c r="Y31" s="42"/>
      <c r="Z31" s="42"/>
      <c r="AA31" s="42"/>
      <c r="AB31" s="42"/>
    </row>
    <row r="32" spans="1:28" s="27" customFormat="1" x14ac:dyDescent="0.3">
      <c r="A32" s="501">
        <v>1</v>
      </c>
      <c r="B32" s="597" t="s">
        <v>16</v>
      </c>
      <c r="C32" s="501">
        <v>1</v>
      </c>
      <c r="D32" s="814" t="s">
        <v>440</v>
      </c>
      <c r="E32" s="503">
        <v>16.899999999999999</v>
      </c>
      <c r="F32" s="979">
        <v>1</v>
      </c>
      <c r="G32" s="979">
        <v>1</v>
      </c>
      <c r="H32" s="981">
        <v>7635</v>
      </c>
      <c r="I32" s="1"/>
      <c r="J32" s="4"/>
      <c r="K32" s="4"/>
      <c r="M32" s="69"/>
      <c r="N32" s="42"/>
      <c r="O32" s="42"/>
      <c r="P32" s="42"/>
      <c r="Q32" s="42"/>
      <c r="R32" s="42"/>
      <c r="S32" s="42"/>
      <c r="T32" s="69"/>
      <c r="U32" s="42"/>
      <c r="V32" s="42"/>
      <c r="W32" s="42"/>
      <c r="X32" s="42"/>
      <c r="Y32" s="42"/>
      <c r="Z32" s="42"/>
      <c r="AA32" s="42"/>
      <c r="AB32" s="42"/>
    </row>
    <row r="33" spans="1:28" s="27" customFormat="1" x14ac:dyDescent="0.3">
      <c r="A33" s="501">
        <v>1</v>
      </c>
      <c r="B33" s="597" t="s">
        <v>16</v>
      </c>
      <c r="C33" s="501">
        <v>1</v>
      </c>
      <c r="D33" s="814" t="s">
        <v>441</v>
      </c>
      <c r="E33" s="503">
        <v>13.4</v>
      </c>
      <c r="F33" s="979">
        <v>1</v>
      </c>
      <c r="G33" s="979">
        <v>1</v>
      </c>
      <c r="H33" s="981">
        <v>7635</v>
      </c>
      <c r="I33" s="1"/>
      <c r="J33" s="1"/>
      <c r="K33" s="1"/>
      <c r="L33" s="90"/>
      <c r="M33" s="93"/>
      <c r="N33" s="66"/>
      <c r="O33" s="38"/>
      <c r="P33" s="66"/>
      <c r="Q33" s="66"/>
      <c r="R33" s="38"/>
      <c r="S33" s="63"/>
      <c r="T33" s="118"/>
      <c r="U33" s="118"/>
      <c r="V33" s="42"/>
      <c r="W33" s="42"/>
      <c r="X33" s="42"/>
      <c r="Y33" s="42"/>
      <c r="Z33" s="42"/>
      <c r="AA33" s="42"/>
      <c r="AB33" s="42"/>
    </row>
    <row r="34" spans="1:28" s="27" customFormat="1" x14ac:dyDescent="0.3">
      <c r="A34" s="501">
        <v>1</v>
      </c>
      <c r="B34" s="597" t="s">
        <v>16</v>
      </c>
      <c r="C34" s="501">
        <v>1</v>
      </c>
      <c r="D34" s="749" t="s">
        <v>835</v>
      </c>
      <c r="E34" s="503">
        <v>34.299999999999997</v>
      </c>
      <c r="F34" s="979">
        <v>1</v>
      </c>
      <c r="G34" s="979">
        <v>1</v>
      </c>
      <c r="H34" s="980">
        <v>7630</v>
      </c>
      <c r="I34" s="1"/>
      <c r="J34" s="4"/>
      <c r="K34" s="4"/>
      <c r="M34" s="69"/>
      <c r="N34" s="42"/>
      <c r="O34" s="42"/>
      <c r="P34" s="42"/>
      <c r="Q34" s="42"/>
      <c r="R34" s="42"/>
      <c r="S34" s="42"/>
      <c r="T34" s="69"/>
      <c r="U34" s="42"/>
      <c r="V34" s="42"/>
      <c r="W34" s="42"/>
      <c r="X34" s="42"/>
      <c r="Y34" s="42"/>
      <c r="Z34" s="42"/>
      <c r="AA34" s="42"/>
      <c r="AB34" s="42"/>
    </row>
    <row r="35" spans="1:28" s="27" customFormat="1" x14ac:dyDescent="0.3">
      <c r="A35" s="501">
        <v>1</v>
      </c>
      <c r="B35" s="597" t="s">
        <v>16</v>
      </c>
      <c r="C35" s="501">
        <v>1</v>
      </c>
      <c r="D35" s="749" t="s">
        <v>836</v>
      </c>
      <c r="E35" s="503">
        <v>50.9</v>
      </c>
      <c r="F35" s="979">
        <v>1</v>
      </c>
      <c r="G35" s="979">
        <v>1</v>
      </c>
      <c r="H35" s="980">
        <v>7630</v>
      </c>
      <c r="I35" s="1"/>
      <c r="J35" s="1"/>
      <c r="K35" s="1"/>
      <c r="L35" s="90"/>
      <c r="M35" s="93"/>
      <c r="N35" s="66"/>
      <c r="O35" s="38"/>
      <c r="P35" s="66"/>
      <c r="Q35" s="66"/>
      <c r="R35" s="38"/>
      <c r="S35" s="63"/>
      <c r="T35" s="118"/>
      <c r="U35" s="118"/>
      <c r="V35" s="42"/>
      <c r="W35" s="42"/>
      <c r="X35" s="42"/>
      <c r="Y35" s="42"/>
      <c r="Z35" s="42"/>
      <c r="AA35" s="42"/>
      <c r="AB35" s="42"/>
    </row>
    <row r="36" spans="1:28" s="27" customFormat="1" x14ac:dyDescent="0.3">
      <c r="A36" s="501">
        <v>1</v>
      </c>
      <c r="B36" s="597" t="s">
        <v>16</v>
      </c>
      <c r="C36" s="501">
        <v>1</v>
      </c>
      <c r="D36" s="814" t="s">
        <v>49</v>
      </c>
      <c r="E36" s="503">
        <v>12.8</v>
      </c>
      <c r="F36" s="979">
        <v>1</v>
      </c>
      <c r="G36" s="979">
        <v>1</v>
      </c>
      <c r="H36" s="980">
        <v>7635</v>
      </c>
      <c r="I36" s="1"/>
      <c r="J36" s="4"/>
      <c r="K36" s="4"/>
      <c r="M36" s="69"/>
      <c r="N36" s="42"/>
      <c r="O36" s="42"/>
      <c r="P36" s="42"/>
      <c r="Q36" s="42"/>
      <c r="R36" s="42"/>
      <c r="S36" s="42"/>
      <c r="T36" s="69"/>
      <c r="U36" s="42"/>
      <c r="V36" s="42"/>
      <c r="W36" s="42"/>
      <c r="X36" s="42"/>
      <c r="Y36" s="42"/>
      <c r="Z36" s="42"/>
      <c r="AA36" s="42"/>
      <c r="AB36" s="42"/>
    </row>
    <row r="37" spans="1:28" s="27" customFormat="1" x14ac:dyDescent="0.3">
      <c r="A37" s="501">
        <v>1</v>
      </c>
      <c r="B37" s="597" t="s">
        <v>16</v>
      </c>
      <c r="C37" s="501">
        <v>2</v>
      </c>
      <c r="D37" s="814" t="s">
        <v>72</v>
      </c>
      <c r="E37" s="503">
        <v>23.05</v>
      </c>
      <c r="F37" s="979">
        <v>1</v>
      </c>
      <c r="G37" s="979">
        <v>1</v>
      </c>
      <c r="H37" s="980">
        <v>7645</v>
      </c>
      <c r="I37" s="1"/>
      <c r="J37" s="1"/>
      <c r="K37" s="1"/>
      <c r="L37" s="90"/>
      <c r="M37" s="93"/>
      <c r="N37" s="66"/>
      <c r="O37" s="38"/>
      <c r="P37" s="66"/>
      <c r="Q37" s="66"/>
      <c r="R37" s="38"/>
      <c r="S37" s="63"/>
      <c r="T37" s="118"/>
      <c r="U37" s="118"/>
      <c r="V37" s="42"/>
      <c r="W37" s="42"/>
      <c r="X37" s="42"/>
      <c r="Y37" s="42"/>
      <c r="Z37" s="42"/>
      <c r="AA37" s="42"/>
      <c r="AB37" s="42"/>
    </row>
    <row r="38" spans="1:28" s="27" customFormat="1" x14ac:dyDescent="0.3">
      <c r="A38" s="501">
        <v>1</v>
      </c>
      <c r="B38" s="597" t="s">
        <v>16</v>
      </c>
      <c r="C38" s="501">
        <v>2</v>
      </c>
      <c r="D38" s="814" t="s">
        <v>837</v>
      </c>
      <c r="E38" s="503">
        <v>84.7</v>
      </c>
      <c r="F38" s="979">
        <v>1</v>
      </c>
      <c r="G38" s="979">
        <v>1</v>
      </c>
      <c r="H38" s="981">
        <v>7630</v>
      </c>
      <c r="I38" s="1"/>
      <c r="J38" s="4"/>
      <c r="K38" s="4"/>
      <c r="M38" s="69"/>
      <c r="N38" s="42"/>
      <c r="O38" s="42"/>
      <c r="P38" s="42"/>
      <c r="Q38" s="42"/>
      <c r="R38" s="42"/>
      <c r="S38" s="42"/>
      <c r="T38" s="69"/>
      <c r="U38" s="42"/>
      <c r="V38" s="42"/>
      <c r="W38" s="42"/>
      <c r="X38" s="42"/>
      <c r="Y38" s="42"/>
      <c r="Z38" s="42"/>
      <c r="AA38" s="42"/>
      <c r="AB38" s="42"/>
    </row>
    <row r="39" spans="1:28" s="27" customFormat="1" x14ac:dyDescent="0.3">
      <c r="A39" s="501">
        <v>1</v>
      </c>
      <c r="B39" s="597" t="s">
        <v>16</v>
      </c>
      <c r="C39" s="501">
        <v>2</v>
      </c>
      <c r="D39" s="814" t="s">
        <v>68</v>
      </c>
      <c r="E39" s="503">
        <v>6</v>
      </c>
      <c r="F39" s="979">
        <v>1</v>
      </c>
      <c r="G39" s="979">
        <v>5</v>
      </c>
      <c r="H39" s="981">
        <v>7817</v>
      </c>
      <c r="I39" s="1"/>
      <c r="J39" s="1"/>
      <c r="K39" s="1"/>
      <c r="L39" s="90"/>
      <c r="M39" s="93"/>
      <c r="N39" s="66"/>
      <c r="O39" s="38"/>
      <c r="P39" s="66"/>
      <c r="Q39" s="66"/>
      <c r="R39" s="38"/>
      <c r="S39" s="63"/>
      <c r="T39" s="118"/>
      <c r="U39" s="118"/>
      <c r="V39" s="42"/>
      <c r="W39" s="42"/>
      <c r="X39" s="42"/>
      <c r="Y39" s="42"/>
      <c r="Z39" s="42"/>
      <c r="AA39" s="42"/>
      <c r="AB39" s="42"/>
    </row>
    <row r="40" spans="1:28" s="27" customFormat="1" x14ac:dyDescent="0.3">
      <c r="A40" s="501">
        <v>1</v>
      </c>
      <c r="B40" s="597" t="s">
        <v>16</v>
      </c>
      <c r="C40" s="501">
        <v>2</v>
      </c>
      <c r="D40" s="814" t="s">
        <v>838</v>
      </c>
      <c r="E40" s="503">
        <v>30.4</v>
      </c>
      <c r="F40" s="979">
        <v>1</v>
      </c>
      <c r="G40" s="979">
        <v>1</v>
      </c>
      <c r="H40" s="980">
        <v>7620</v>
      </c>
      <c r="I40" s="1"/>
      <c r="J40" s="4"/>
      <c r="K40" s="4"/>
      <c r="M40" s="69"/>
      <c r="N40" s="42"/>
      <c r="O40" s="42"/>
      <c r="P40" s="42"/>
      <c r="Q40" s="42"/>
      <c r="R40" s="42"/>
      <c r="S40" s="42"/>
      <c r="T40" s="69"/>
      <c r="U40" s="42"/>
      <c r="V40" s="42"/>
      <c r="W40" s="42"/>
      <c r="X40" s="42"/>
      <c r="Y40" s="42"/>
      <c r="Z40" s="42"/>
      <c r="AA40" s="42"/>
      <c r="AB40" s="42"/>
    </row>
    <row r="41" spans="1:28" s="27" customFormat="1" x14ac:dyDescent="0.3">
      <c r="A41" s="501">
        <v>1</v>
      </c>
      <c r="B41" s="597" t="s">
        <v>16</v>
      </c>
      <c r="C41" s="501">
        <v>2</v>
      </c>
      <c r="D41" s="814" t="s">
        <v>839</v>
      </c>
      <c r="E41" s="503">
        <v>12.1</v>
      </c>
      <c r="F41" s="979">
        <v>1</v>
      </c>
      <c r="G41" s="979">
        <v>1</v>
      </c>
      <c r="H41" s="980">
        <v>7625</v>
      </c>
      <c r="I41" s="1"/>
      <c r="J41" s="1"/>
      <c r="K41" s="1"/>
      <c r="L41" s="90"/>
      <c r="M41" s="93"/>
      <c r="N41" s="66"/>
      <c r="O41" s="38"/>
      <c r="P41" s="66"/>
      <c r="Q41" s="66"/>
      <c r="R41" s="38"/>
      <c r="S41" s="63"/>
      <c r="T41" s="118"/>
      <c r="U41" s="118"/>
      <c r="V41" s="42"/>
      <c r="W41" s="42"/>
      <c r="X41" s="42"/>
      <c r="Y41" s="42"/>
      <c r="Z41" s="42"/>
      <c r="AA41" s="42"/>
      <c r="AB41" s="42"/>
    </row>
    <row r="42" spans="1:28" s="27" customFormat="1" x14ac:dyDescent="0.3">
      <c r="A42" s="501">
        <v>1</v>
      </c>
      <c r="B42" s="597" t="s">
        <v>16</v>
      </c>
      <c r="C42" s="501">
        <v>2</v>
      </c>
      <c r="D42" s="814" t="s">
        <v>48</v>
      </c>
      <c r="E42" s="503">
        <v>23.8</v>
      </c>
      <c r="F42" s="979">
        <v>1</v>
      </c>
      <c r="G42" s="979">
        <v>1</v>
      </c>
      <c r="H42" s="980">
        <v>7625</v>
      </c>
      <c r="I42" s="1"/>
      <c r="J42" s="4"/>
      <c r="K42" s="4"/>
      <c r="M42" s="69"/>
      <c r="N42" s="42"/>
      <c r="O42" s="42"/>
      <c r="P42" s="42"/>
      <c r="Q42" s="42"/>
      <c r="R42" s="42"/>
      <c r="S42" s="42"/>
      <c r="T42" s="69"/>
      <c r="U42" s="42"/>
      <c r="V42" s="42"/>
      <c r="W42" s="42"/>
      <c r="X42" s="42"/>
      <c r="Y42" s="42"/>
      <c r="Z42" s="42"/>
      <c r="AA42" s="42"/>
      <c r="AB42" s="42"/>
    </row>
    <row r="43" spans="1:28" s="27" customFormat="1" x14ac:dyDescent="0.3">
      <c r="A43" s="501">
        <v>1</v>
      </c>
      <c r="B43" s="597" t="s">
        <v>16</v>
      </c>
      <c r="C43" s="501">
        <v>2</v>
      </c>
      <c r="D43" s="814" t="s">
        <v>839</v>
      </c>
      <c r="E43" s="503">
        <v>14.1</v>
      </c>
      <c r="F43" s="979">
        <v>1</v>
      </c>
      <c r="G43" s="979">
        <v>1</v>
      </c>
      <c r="H43" s="980">
        <v>7625</v>
      </c>
      <c r="I43" s="1"/>
      <c r="J43" s="1"/>
      <c r="K43" s="1"/>
      <c r="L43" s="90"/>
      <c r="M43" s="93"/>
      <c r="N43" s="66"/>
      <c r="O43" s="38"/>
      <c r="P43" s="66"/>
      <c r="Q43" s="66"/>
      <c r="R43" s="38"/>
      <c r="S43" s="63"/>
      <c r="T43" s="118"/>
      <c r="U43" s="118"/>
      <c r="V43" s="42"/>
      <c r="W43" s="42"/>
      <c r="X43" s="42"/>
      <c r="Y43" s="42"/>
      <c r="Z43" s="42"/>
      <c r="AA43" s="42"/>
      <c r="AB43" s="42"/>
    </row>
    <row r="44" spans="1:28" s="27" customFormat="1" x14ac:dyDescent="0.3">
      <c r="A44" s="501">
        <v>1</v>
      </c>
      <c r="B44" s="597" t="s">
        <v>16</v>
      </c>
      <c r="C44" s="501">
        <v>2</v>
      </c>
      <c r="D44" s="814" t="s">
        <v>48</v>
      </c>
      <c r="E44" s="503">
        <v>31.2</v>
      </c>
      <c r="F44" s="979">
        <v>1</v>
      </c>
      <c r="G44" s="979">
        <v>1</v>
      </c>
      <c r="H44" s="980">
        <v>7625</v>
      </c>
      <c r="I44" s="1"/>
      <c r="J44" s="4"/>
      <c r="K44" s="4"/>
      <c r="M44" s="69"/>
      <c r="N44" s="42"/>
      <c r="O44" s="42"/>
      <c r="P44" s="42"/>
      <c r="Q44" s="42"/>
      <c r="R44" s="42"/>
      <c r="S44" s="42"/>
      <c r="T44" s="69"/>
      <c r="U44" s="42"/>
      <c r="V44" s="42"/>
      <c r="W44" s="42"/>
      <c r="X44" s="42"/>
      <c r="Y44" s="42"/>
      <c r="Z44" s="42"/>
      <c r="AA44" s="42"/>
      <c r="AB44" s="42"/>
    </row>
    <row r="45" spans="1:28" s="27" customFormat="1" x14ac:dyDescent="0.3">
      <c r="A45" s="501">
        <v>1</v>
      </c>
      <c r="B45" s="597" t="s">
        <v>16</v>
      </c>
      <c r="C45" s="501">
        <v>2</v>
      </c>
      <c r="D45" s="814" t="s">
        <v>48</v>
      </c>
      <c r="E45" s="503">
        <v>15.46</v>
      </c>
      <c r="F45" s="979">
        <v>1</v>
      </c>
      <c r="G45" s="979">
        <v>1</v>
      </c>
      <c r="H45" s="980">
        <v>7625</v>
      </c>
      <c r="I45" s="1"/>
      <c r="J45" s="1"/>
      <c r="K45" s="1"/>
      <c r="L45" s="90"/>
      <c r="M45" s="93"/>
      <c r="N45" s="66"/>
      <c r="O45" s="38"/>
      <c r="P45" s="66"/>
      <c r="Q45" s="66"/>
      <c r="R45" s="38"/>
      <c r="S45" s="63"/>
      <c r="T45" s="118"/>
      <c r="U45" s="118"/>
      <c r="V45" s="42"/>
      <c r="W45" s="42"/>
      <c r="X45" s="42"/>
      <c r="Y45" s="42"/>
      <c r="Z45" s="42"/>
      <c r="AA45" s="42"/>
      <c r="AB45" s="42"/>
    </row>
    <row r="46" spans="1:28" s="27" customFormat="1" x14ac:dyDescent="0.3">
      <c r="A46" s="501">
        <v>1</v>
      </c>
      <c r="B46" s="597" t="s">
        <v>16</v>
      </c>
      <c r="C46" s="501">
        <v>2</v>
      </c>
      <c r="D46" s="814" t="s">
        <v>839</v>
      </c>
      <c r="E46" s="503">
        <v>31.83</v>
      </c>
      <c r="F46" s="979">
        <v>1</v>
      </c>
      <c r="G46" s="979">
        <v>1</v>
      </c>
      <c r="H46" s="980">
        <v>7625</v>
      </c>
      <c r="I46" s="1"/>
      <c r="J46" s="4"/>
      <c r="K46" s="4"/>
      <c r="M46" s="69"/>
      <c r="N46" s="42"/>
      <c r="O46" s="42"/>
      <c r="P46" s="42"/>
      <c r="Q46" s="42"/>
      <c r="R46" s="42"/>
      <c r="S46" s="42"/>
      <c r="T46" s="69"/>
      <c r="U46" s="42"/>
      <c r="V46" s="42"/>
      <c r="W46" s="42"/>
      <c r="X46" s="42"/>
      <c r="Y46" s="42"/>
      <c r="Z46" s="42"/>
      <c r="AA46" s="42"/>
      <c r="AB46" s="42"/>
    </row>
    <row r="47" spans="1:28" s="27" customFormat="1" x14ac:dyDescent="0.3">
      <c r="A47" s="501">
        <v>1</v>
      </c>
      <c r="B47" s="597" t="s">
        <v>16</v>
      </c>
      <c r="C47" s="501">
        <v>2</v>
      </c>
      <c r="D47" s="814" t="s">
        <v>97</v>
      </c>
      <c r="E47" s="503">
        <v>17.52</v>
      </c>
      <c r="F47" s="979">
        <v>1</v>
      </c>
      <c r="G47" s="979">
        <v>5</v>
      </c>
      <c r="H47" s="980">
        <v>7117</v>
      </c>
      <c r="I47" s="1"/>
      <c r="J47" s="1"/>
      <c r="K47" s="1"/>
      <c r="L47" s="90"/>
      <c r="M47" s="93"/>
      <c r="N47" s="66"/>
      <c r="O47" s="38"/>
      <c r="P47" s="66"/>
      <c r="Q47" s="66"/>
      <c r="R47" s="38"/>
      <c r="S47" s="63"/>
      <c r="T47" s="118"/>
      <c r="U47" s="118"/>
      <c r="V47" s="42"/>
      <c r="W47" s="42"/>
      <c r="X47" s="42"/>
      <c r="Y47" s="42"/>
      <c r="Z47" s="42"/>
      <c r="AA47" s="42"/>
      <c r="AB47" s="42"/>
    </row>
    <row r="48" spans="1:28" s="27" customFormat="1" x14ac:dyDescent="0.3">
      <c r="A48" s="501">
        <v>1</v>
      </c>
      <c r="B48" s="597" t="s">
        <v>16</v>
      </c>
      <c r="C48" s="501">
        <v>2</v>
      </c>
      <c r="D48" s="814" t="s">
        <v>97</v>
      </c>
      <c r="E48" s="503">
        <v>17.100000000000001</v>
      </c>
      <c r="F48" s="979">
        <v>1</v>
      </c>
      <c r="G48" s="979">
        <v>5</v>
      </c>
      <c r="H48" s="980">
        <v>7117</v>
      </c>
      <c r="I48" s="1"/>
      <c r="J48" s="4"/>
      <c r="K48" s="4"/>
      <c r="M48" s="69"/>
      <c r="N48" s="42"/>
      <c r="O48" s="42"/>
      <c r="P48" s="42"/>
      <c r="Q48" s="42"/>
      <c r="R48" s="42"/>
      <c r="S48" s="42"/>
      <c r="T48" s="69"/>
      <c r="U48" s="42"/>
      <c r="V48" s="42"/>
      <c r="W48" s="42"/>
      <c r="X48" s="42"/>
      <c r="Y48" s="42"/>
      <c r="Z48" s="42"/>
      <c r="AA48" s="42"/>
      <c r="AB48" s="42"/>
    </row>
    <row r="49" spans="1:28" s="27" customFormat="1" x14ac:dyDescent="0.3">
      <c r="A49" s="501">
        <v>1</v>
      </c>
      <c r="B49" s="597" t="s">
        <v>16</v>
      </c>
      <c r="C49" s="501">
        <v>2</v>
      </c>
      <c r="D49" s="814" t="s">
        <v>839</v>
      </c>
      <c r="E49" s="503">
        <v>29.52</v>
      </c>
      <c r="F49" s="979">
        <v>1</v>
      </c>
      <c r="G49" s="979">
        <v>1</v>
      </c>
      <c r="H49" s="980">
        <v>7625</v>
      </c>
      <c r="I49" s="1"/>
      <c r="J49" s="1"/>
      <c r="K49" s="1"/>
      <c r="L49" s="90"/>
      <c r="M49" s="93"/>
      <c r="N49" s="66"/>
      <c r="O49" s="38"/>
      <c r="P49" s="66"/>
      <c r="Q49" s="66"/>
      <c r="R49" s="38"/>
      <c r="S49" s="63"/>
      <c r="T49" s="118"/>
      <c r="U49" s="118"/>
      <c r="V49" s="42"/>
      <c r="W49" s="42"/>
      <c r="X49" s="42"/>
      <c r="Y49" s="42"/>
      <c r="Z49" s="42"/>
      <c r="AA49" s="42"/>
      <c r="AB49" s="42"/>
    </row>
    <row r="50" spans="1:28" s="27" customFormat="1" x14ac:dyDescent="0.3">
      <c r="A50" s="501">
        <v>1</v>
      </c>
      <c r="B50" s="597" t="s">
        <v>16</v>
      </c>
      <c r="C50" s="501">
        <v>2</v>
      </c>
      <c r="D50" s="814" t="s">
        <v>109</v>
      </c>
      <c r="E50" s="503">
        <v>21.86</v>
      </c>
      <c r="F50" s="979">
        <v>1</v>
      </c>
      <c r="G50" s="979">
        <v>1</v>
      </c>
      <c r="H50" s="980">
        <v>7625</v>
      </c>
      <c r="I50" s="1"/>
      <c r="J50" s="4"/>
      <c r="K50" s="4"/>
      <c r="M50" s="69"/>
      <c r="N50" s="42"/>
      <c r="O50" s="42"/>
      <c r="P50" s="42"/>
      <c r="Q50" s="42"/>
      <c r="R50" s="42"/>
      <c r="S50" s="42"/>
      <c r="T50" s="69"/>
      <c r="U50" s="42"/>
      <c r="V50" s="42"/>
      <c r="W50" s="42"/>
      <c r="X50" s="42"/>
      <c r="Y50" s="42"/>
      <c r="Z50" s="42"/>
      <c r="AA50" s="42"/>
      <c r="AB50" s="42"/>
    </row>
    <row r="51" spans="1:28" s="27" customFormat="1" x14ac:dyDescent="0.3">
      <c r="A51" s="501">
        <v>1</v>
      </c>
      <c r="B51" s="597" t="s">
        <v>16</v>
      </c>
      <c r="C51" s="501">
        <v>2</v>
      </c>
      <c r="D51" s="814" t="s">
        <v>110</v>
      </c>
      <c r="E51" s="503">
        <v>99.25</v>
      </c>
      <c r="F51" s="979">
        <v>1</v>
      </c>
      <c r="G51" s="979">
        <v>1</v>
      </c>
      <c r="H51" s="980">
        <v>7620</v>
      </c>
      <c r="I51" s="1"/>
      <c r="J51" s="1"/>
      <c r="K51" s="1"/>
      <c r="L51" s="90"/>
      <c r="M51" s="93"/>
      <c r="N51" s="66"/>
      <c r="O51" s="38"/>
      <c r="P51" s="66"/>
      <c r="Q51" s="66"/>
      <c r="R51" s="38"/>
      <c r="S51" s="63"/>
      <c r="T51" s="118"/>
      <c r="U51" s="118"/>
      <c r="V51" s="42"/>
      <c r="W51" s="42"/>
      <c r="X51" s="42"/>
      <c r="Y51" s="42"/>
      <c r="Z51" s="42"/>
      <c r="AA51" s="42"/>
      <c r="AB51" s="42"/>
    </row>
    <row r="52" spans="1:28" s="27" customFormat="1" x14ac:dyDescent="0.3">
      <c r="A52" s="501">
        <v>1</v>
      </c>
      <c r="B52" s="597" t="s">
        <v>16</v>
      </c>
      <c r="C52" s="501">
        <v>2</v>
      </c>
      <c r="D52" s="814" t="s">
        <v>48</v>
      </c>
      <c r="E52" s="503">
        <v>26.7</v>
      </c>
      <c r="F52" s="979">
        <v>1</v>
      </c>
      <c r="G52" s="979">
        <v>1</v>
      </c>
      <c r="H52" s="980">
        <v>7625</v>
      </c>
      <c r="I52" s="1"/>
      <c r="J52" s="4"/>
      <c r="K52" s="4"/>
      <c r="M52" s="69"/>
      <c r="N52" s="42"/>
      <c r="O52" s="42"/>
      <c r="P52" s="42"/>
      <c r="Q52" s="42"/>
      <c r="R52" s="42"/>
      <c r="S52" s="42"/>
      <c r="T52" s="69"/>
      <c r="U52" s="42"/>
      <c r="V52" s="42"/>
      <c r="W52" s="42"/>
      <c r="X52" s="42"/>
      <c r="Y52" s="42"/>
      <c r="Z52" s="42"/>
      <c r="AA52" s="42"/>
      <c r="AB52" s="42"/>
    </row>
    <row r="53" spans="1:28" s="27" customFormat="1" x14ac:dyDescent="0.3">
      <c r="A53" s="501">
        <v>1</v>
      </c>
      <c r="B53" s="597" t="s">
        <v>16</v>
      </c>
      <c r="C53" s="501">
        <v>2</v>
      </c>
      <c r="D53" s="814" t="s">
        <v>45</v>
      </c>
      <c r="E53" s="503">
        <v>37.14</v>
      </c>
      <c r="F53" s="979">
        <v>1</v>
      </c>
      <c r="G53" s="979">
        <v>5</v>
      </c>
      <c r="H53" s="980">
        <v>7817</v>
      </c>
      <c r="I53" s="1"/>
      <c r="J53" s="1"/>
      <c r="K53" s="1"/>
      <c r="L53" s="90"/>
      <c r="M53" s="93"/>
      <c r="N53" s="66"/>
      <c r="O53" s="38"/>
      <c r="P53" s="66"/>
      <c r="Q53" s="66"/>
      <c r="R53" s="38"/>
      <c r="S53" s="63"/>
      <c r="T53" s="118"/>
      <c r="U53" s="118"/>
      <c r="V53" s="42"/>
      <c r="W53" s="42"/>
      <c r="X53" s="42"/>
      <c r="Y53" s="42"/>
      <c r="Z53" s="42"/>
      <c r="AA53" s="42"/>
      <c r="AB53" s="42"/>
    </row>
    <row r="54" spans="1:28" s="27" customFormat="1" x14ac:dyDescent="0.3">
      <c r="A54" s="501">
        <v>1</v>
      </c>
      <c r="B54" s="597" t="s">
        <v>16</v>
      </c>
      <c r="C54" s="501">
        <v>2</v>
      </c>
      <c r="D54" s="814" t="s">
        <v>46</v>
      </c>
      <c r="E54" s="503">
        <v>38.44</v>
      </c>
      <c r="F54" s="979">
        <v>1</v>
      </c>
      <c r="G54" s="979">
        <v>5</v>
      </c>
      <c r="H54" s="980">
        <v>7817</v>
      </c>
      <c r="I54" s="1"/>
      <c r="J54" s="4"/>
      <c r="K54" s="4"/>
      <c r="M54" s="69"/>
      <c r="N54" s="42"/>
      <c r="O54" s="42"/>
      <c r="P54" s="42"/>
      <c r="Q54" s="42"/>
      <c r="R54" s="42"/>
      <c r="S54" s="42"/>
      <c r="T54" s="69"/>
      <c r="U54" s="42"/>
      <c r="V54" s="42"/>
      <c r="W54" s="42"/>
      <c r="X54" s="42"/>
      <c r="Y54" s="42"/>
      <c r="Z54" s="42"/>
      <c r="AA54" s="42"/>
      <c r="AB54" s="42"/>
    </row>
    <row r="55" spans="1:28" s="27" customFormat="1" x14ac:dyDescent="0.3">
      <c r="A55" s="501">
        <v>1</v>
      </c>
      <c r="B55" s="597" t="s">
        <v>16</v>
      </c>
      <c r="C55" s="501">
        <v>2</v>
      </c>
      <c r="D55" s="814" t="s">
        <v>17</v>
      </c>
      <c r="E55" s="503">
        <v>19.100000000000001</v>
      </c>
      <c r="F55" s="979">
        <v>1</v>
      </c>
      <c r="G55" s="979">
        <v>1</v>
      </c>
      <c r="H55" s="980">
        <v>7817</v>
      </c>
      <c r="I55" s="1"/>
      <c r="J55" s="1"/>
      <c r="K55" s="1"/>
      <c r="L55" s="90"/>
      <c r="M55" s="93"/>
      <c r="N55" s="66"/>
      <c r="O55" s="38"/>
      <c r="P55" s="66"/>
      <c r="Q55" s="66"/>
      <c r="R55" s="38"/>
      <c r="S55" s="63"/>
      <c r="T55" s="118"/>
      <c r="U55" s="118"/>
      <c r="V55" s="42"/>
      <c r="W55" s="42"/>
      <c r="X55" s="42"/>
      <c r="Y55" s="42"/>
      <c r="Z55" s="42"/>
      <c r="AA55" s="42"/>
      <c r="AB55" s="42"/>
    </row>
    <row r="56" spans="1:28" s="27" customFormat="1" x14ac:dyDescent="0.3">
      <c r="A56" s="501">
        <v>1</v>
      </c>
      <c r="B56" s="597" t="s">
        <v>16</v>
      </c>
      <c r="C56" s="501">
        <v>2</v>
      </c>
      <c r="D56" s="814" t="s">
        <v>44</v>
      </c>
      <c r="E56" s="503">
        <v>51.1</v>
      </c>
      <c r="F56" s="979">
        <v>1</v>
      </c>
      <c r="G56" s="979">
        <v>1</v>
      </c>
      <c r="H56" s="980">
        <v>7817</v>
      </c>
      <c r="I56" s="1"/>
      <c r="J56" s="4"/>
      <c r="K56" s="4"/>
      <c r="M56" s="69"/>
      <c r="N56" s="42"/>
      <c r="O56" s="42"/>
      <c r="P56" s="42"/>
      <c r="Q56" s="42"/>
      <c r="R56" s="42"/>
      <c r="S56" s="42"/>
      <c r="T56" s="69"/>
      <c r="U56" s="42"/>
      <c r="V56" s="42"/>
      <c r="W56" s="42"/>
      <c r="X56" s="42"/>
      <c r="Y56" s="42"/>
      <c r="Z56" s="42"/>
      <c r="AA56" s="42"/>
      <c r="AB56" s="42"/>
    </row>
    <row r="57" spans="1:28" s="27" customFormat="1" x14ac:dyDescent="0.3">
      <c r="A57" s="501">
        <v>1</v>
      </c>
      <c r="B57" s="597" t="s">
        <v>16</v>
      </c>
      <c r="C57" s="501">
        <v>2</v>
      </c>
      <c r="D57" s="814" t="s">
        <v>48</v>
      </c>
      <c r="E57" s="503">
        <v>33</v>
      </c>
      <c r="F57" s="979">
        <v>1</v>
      </c>
      <c r="G57" s="979">
        <v>1</v>
      </c>
      <c r="H57" s="980">
        <v>7625</v>
      </c>
      <c r="I57" s="1"/>
      <c r="J57" s="1"/>
      <c r="K57" s="1"/>
      <c r="L57" s="90"/>
      <c r="M57" s="93"/>
      <c r="N57" s="66"/>
      <c r="O57" s="38"/>
      <c r="P57" s="66"/>
      <c r="Q57" s="66"/>
      <c r="R57" s="38"/>
      <c r="S57" s="63"/>
      <c r="T57" s="118"/>
      <c r="U57" s="118"/>
      <c r="V57" s="42"/>
      <c r="W57" s="42"/>
      <c r="X57" s="42"/>
      <c r="Y57" s="42"/>
      <c r="Z57" s="42"/>
      <c r="AA57" s="42"/>
      <c r="AB57" s="42"/>
    </row>
    <row r="58" spans="1:28" s="27" customFormat="1" x14ac:dyDescent="0.3">
      <c r="A58" s="501">
        <v>1</v>
      </c>
      <c r="B58" s="597" t="s">
        <v>16</v>
      </c>
      <c r="C58" s="501">
        <v>2</v>
      </c>
      <c r="D58" s="814" t="s">
        <v>47</v>
      </c>
      <c r="E58" s="503">
        <v>18.399999999999999</v>
      </c>
      <c r="F58" s="979">
        <v>1</v>
      </c>
      <c r="G58" s="979">
        <v>1</v>
      </c>
      <c r="H58" s="980">
        <v>7625</v>
      </c>
      <c r="I58" s="1"/>
      <c r="J58" s="4"/>
      <c r="K58" s="4"/>
      <c r="M58" s="69"/>
      <c r="N58" s="42"/>
      <c r="O58" s="42"/>
      <c r="P58" s="42"/>
      <c r="Q58" s="42"/>
      <c r="R58" s="42"/>
      <c r="S58" s="42"/>
      <c r="T58" s="69"/>
      <c r="U58" s="42"/>
      <c r="V58" s="42"/>
      <c r="W58" s="42"/>
      <c r="X58" s="42"/>
      <c r="Y58" s="42"/>
      <c r="Z58" s="42"/>
      <c r="AA58" s="42"/>
      <c r="AB58" s="42"/>
    </row>
    <row r="59" spans="1:28" s="27" customFormat="1" x14ac:dyDescent="0.3">
      <c r="A59" s="501">
        <v>1</v>
      </c>
      <c r="B59" s="597" t="s">
        <v>16</v>
      </c>
      <c r="C59" s="501">
        <v>2</v>
      </c>
      <c r="D59" s="814" t="s">
        <v>48</v>
      </c>
      <c r="E59" s="503">
        <v>20.58</v>
      </c>
      <c r="F59" s="979">
        <v>1</v>
      </c>
      <c r="G59" s="979">
        <v>1</v>
      </c>
      <c r="H59" s="980">
        <v>7625</v>
      </c>
      <c r="I59" s="1"/>
      <c r="J59" s="1"/>
      <c r="K59" s="1"/>
      <c r="L59" s="90"/>
      <c r="M59" s="93"/>
      <c r="N59" s="66"/>
      <c r="O59" s="38"/>
      <c r="P59" s="66"/>
      <c r="Q59" s="66"/>
      <c r="R59" s="38"/>
      <c r="S59" s="63"/>
      <c r="T59" s="118"/>
      <c r="U59" s="118"/>
      <c r="V59" s="42"/>
      <c r="W59" s="42"/>
      <c r="X59" s="42"/>
      <c r="Y59" s="42"/>
      <c r="Z59" s="42"/>
      <c r="AA59" s="42"/>
      <c r="AB59" s="42"/>
    </row>
    <row r="60" spans="1:28" s="27" customFormat="1" x14ac:dyDescent="0.3">
      <c r="A60" s="501">
        <v>1</v>
      </c>
      <c r="B60" s="597" t="s">
        <v>16</v>
      </c>
      <c r="C60" s="501">
        <v>2</v>
      </c>
      <c r="D60" s="814" t="s">
        <v>840</v>
      </c>
      <c r="E60" s="503">
        <v>17.190000000000001</v>
      </c>
      <c r="F60" s="979">
        <v>1</v>
      </c>
      <c r="G60" s="979">
        <v>1</v>
      </c>
      <c r="H60" s="980">
        <v>7625</v>
      </c>
      <c r="I60" s="1"/>
      <c r="J60" s="4"/>
      <c r="K60" s="4"/>
      <c r="M60" s="69"/>
      <c r="N60" s="42"/>
      <c r="O60" s="42"/>
      <c r="P60" s="42"/>
      <c r="Q60" s="42"/>
      <c r="R60" s="42"/>
      <c r="S60" s="42"/>
      <c r="T60" s="69"/>
      <c r="U60" s="42"/>
      <c r="V60" s="42"/>
      <c r="W60" s="42"/>
      <c r="X60" s="42"/>
      <c r="Y60" s="42"/>
      <c r="Z60" s="42"/>
      <c r="AA60" s="42"/>
      <c r="AB60" s="42"/>
    </row>
    <row r="61" spans="1:28" s="27" customFormat="1" x14ac:dyDescent="0.3">
      <c r="A61" s="501">
        <v>1</v>
      </c>
      <c r="B61" s="597" t="s">
        <v>16</v>
      </c>
      <c r="C61" s="501">
        <v>2</v>
      </c>
      <c r="D61" s="814" t="s">
        <v>289</v>
      </c>
      <c r="E61" s="503">
        <v>37.4</v>
      </c>
      <c r="F61" s="979">
        <v>1</v>
      </c>
      <c r="G61" s="979">
        <v>1</v>
      </c>
      <c r="H61" s="981">
        <v>7640</v>
      </c>
      <c r="I61" s="1"/>
      <c r="J61" s="1"/>
      <c r="K61" s="42"/>
      <c r="L61" s="460"/>
      <c r="M61" s="93"/>
      <c r="N61" s="66"/>
      <c r="O61" s="38"/>
      <c r="P61" s="66"/>
      <c r="Q61" s="66"/>
      <c r="R61" s="38"/>
      <c r="S61" s="63"/>
      <c r="T61" s="118"/>
      <c r="U61" s="118"/>
      <c r="V61" s="42"/>
      <c r="W61" s="42"/>
      <c r="X61" s="42"/>
      <c r="Y61" s="42"/>
      <c r="Z61" s="42"/>
      <c r="AA61" s="42"/>
      <c r="AB61" s="42"/>
    </row>
    <row r="62" spans="1:28" s="27" customFormat="1" x14ac:dyDescent="0.3">
      <c r="A62" s="501">
        <v>1</v>
      </c>
      <c r="B62" s="597" t="s">
        <v>16</v>
      </c>
      <c r="C62" s="501">
        <v>2</v>
      </c>
      <c r="D62" s="814" t="s">
        <v>111</v>
      </c>
      <c r="E62" s="503">
        <v>48.85</v>
      </c>
      <c r="F62" s="979">
        <v>1</v>
      </c>
      <c r="G62" s="979">
        <v>1</v>
      </c>
      <c r="H62" s="980">
        <v>7645</v>
      </c>
      <c r="I62" s="1"/>
      <c r="J62" s="4"/>
      <c r="K62" s="47"/>
      <c r="L62" s="42"/>
      <c r="M62" s="69"/>
      <c r="N62" s="42"/>
      <c r="O62" s="42"/>
      <c r="P62" s="42"/>
      <c r="Q62" s="42"/>
      <c r="R62" s="42"/>
      <c r="S62" s="42"/>
      <c r="T62" s="69"/>
      <c r="U62" s="42"/>
      <c r="V62" s="42"/>
      <c r="W62" s="42"/>
      <c r="X62" s="42"/>
      <c r="Y62" s="42"/>
      <c r="Z62" s="42"/>
      <c r="AA62" s="42"/>
      <c r="AB62" s="42"/>
    </row>
    <row r="63" spans="1:28" s="27" customFormat="1" x14ac:dyDescent="0.3">
      <c r="A63" s="501">
        <v>1</v>
      </c>
      <c r="B63" s="597" t="s">
        <v>16</v>
      </c>
      <c r="C63" s="501">
        <v>2</v>
      </c>
      <c r="D63" s="504" t="s">
        <v>109</v>
      </c>
      <c r="E63" s="505">
        <v>8.99</v>
      </c>
      <c r="F63" s="982">
        <v>1</v>
      </c>
      <c r="G63" s="979">
        <v>1</v>
      </c>
      <c r="H63" s="981">
        <v>7625</v>
      </c>
      <c r="I63" s="1"/>
      <c r="J63" s="1"/>
      <c r="K63" s="42"/>
      <c r="L63" s="460"/>
      <c r="M63" s="93"/>
      <c r="N63" s="66"/>
      <c r="O63" s="38"/>
      <c r="P63" s="66"/>
      <c r="Q63" s="66"/>
      <c r="R63" s="38"/>
      <c r="S63" s="63"/>
      <c r="T63" s="118"/>
      <c r="U63" s="118"/>
      <c r="V63" s="42"/>
      <c r="W63" s="42"/>
      <c r="X63" s="42"/>
      <c r="Y63" s="42"/>
      <c r="Z63" s="42"/>
      <c r="AA63" s="42"/>
      <c r="AB63" s="42"/>
    </row>
    <row r="64" spans="1:28" s="27" customFormat="1" ht="17.399999999999999" x14ac:dyDescent="0.3">
      <c r="A64" s="501">
        <v>1</v>
      </c>
      <c r="B64" s="597" t="s">
        <v>16</v>
      </c>
      <c r="C64" s="501">
        <v>3</v>
      </c>
      <c r="D64" s="814" t="s">
        <v>53</v>
      </c>
      <c r="E64" s="503">
        <v>23.05</v>
      </c>
      <c r="F64" s="979">
        <v>1</v>
      </c>
      <c r="G64" s="979">
        <v>1</v>
      </c>
      <c r="H64" s="980">
        <v>7645</v>
      </c>
      <c r="I64" s="1"/>
      <c r="J64" s="4"/>
      <c r="K64" s="47"/>
      <c r="L64" s="42"/>
      <c r="M64" s="472"/>
      <c r="N64" s="45"/>
      <c r="O64" s="45"/>
      <c r="P64" s="42"/>
      <c r="Q64" s="42"/>
      <c r="R64" s="42"/>
      <c r="S64" s="42"/>
      <c r="T64" s="69"/>
      <c r="U64" s="42"/>
      <c r="V64" s="42"/>
      <c r="W64" s="42"/>
      <c r="X64" s="42"/>
      <c r="Y64" s="42"/>
      <c r="Z64" s="42"/>
      <c r="AA64" s="42"/>
      <c r="AB64" s="42"/>
    </row>
    <row r="65" spans="1:28" s="27" customFormat="1" x14ac:dyDescent="0.3">
      <c r="A65" s="501">
        <v>1</v>
      </c>
      <c r="B65" s="597" t="s">
        <v>16</v>
      </c>
      <c r="C65" s="501">
        <v>3</v>
      </c>
      <c r="D65" s="814" t="s">
        <v>841</v>
      </c>
      <c r="E65" s="503">
        <v>84.72</v>
      </c>
      <c r="F65" s="979">
        <v>1</v>
      </c>
      <c r="G65" s="979">
        <v>1</v>
      </c>
      <c r="H65" s="981">
        <v>7640</v>
      </c>
      <c r="I65" s="1"/>
      <c r="J65" s="1"/>
      <c r="K65" s="42"/>
      <c r="L65" s="460"/>
      <c r="M65" s="93"/>
      <c r="N65" s="66"/>
      <c r="O65" s="38"/>
      <c r="P65" s="66"/>
      <c r="Q65" s="66"/>
      <c r="R65" s="38"/>
      <c r="S65" s="63"/>
      <c r="T65" s="118"/>
      <c r="U65" s="118"/>
      <c r="V65" s="42"/>
      <c r="W65" s="42"/>
      <c r="X65" s="42"/>
      <c r="Y65" s="42"/>
      <c r="Z65" s="42"/>
      <c r="AA65" s="42"/>
      <c r="AB65" s="42"/>
    </row>
    <row r="66" spans="1:28" s="27" customFormat="1" x14ac:dyDescent="0.3">
      <c r="A66" s="501">
        <v>1</v>
      </c>
      <c r="B66" s="597" t="s">
        <v>16</v>
      </c>
      <c r="C66" s="501">
        <v>3</v>
      </c>
      <c r="D66" s="814" t="s">
        <v>53</v>
      </c>
      <c r="E66" s="503">
        <v>34.119999999999997</v>
      </c>
      <c r="F66" s="979">
        <v>1</v>
      </c>
      <c r="G66" s="979">
        <v>1</v>
      </c>
      <c r="H66" s="980">
        <v>7645</v>
      </c>
      <c r="I66" s="1"/>
      <c r="J66" s="4"/>
      <c r="K66" s="47"/>
      <c r="L66" s="42"/>
      <c r="M66" s="69"/>
      <c r="N66" s="42"/>
      <c r="O66" s="42"/>
      <c r="P66" s="42"/>
      <c r="Q66" s="42"/>
      <c r="R66" s="42"/>
      <c r="S66" s="42"/>
      <c r="T66" s="69"/>
      <c r="U66" s="42"/>
      <c r="V66" s="42"/>
      <c r="W66" s="42"/>
      <c r="X66" s="42"/>
      <c r="Y66" s="42"/>
      <c r="Z66" s="42"/>
      <c r="AA66" s="42"/>
      <c r="AB66" s="42"/>
    </row>
    <row r="67" spans="1:28" s="27" customFormat="1" x14ac:dyDescent="0.3">
      <c r="A67" s="501">
        <v>1</v>
      </c>
      <c r="B67" s="597" t="s">
        <v>16</v>
      </c>
      <c r="C67" s="501">
        <v>3</v>
      </c>
      <c r="D67" s="814" t="s">
        <v>73</v>
      </c>
      <c r="E67" s="503">
        <v>37.44</v>
      </c>
      <c r="F67" s="979">
        <v>1</v>
      </c>
      <c r="G67" s="979">
        <v>1</v>
      </c>
      <c r="H67" s="981">
        <v>7645</v>
      </c>
      <c r="I67" s="1"/>
      <c r="J67" s="1"/>
      <c r="K67" s="42"/>
      <c r="L67" s="460"/>
      <c r="M67" s="93"/>
      <c r="N67" s="66"/>
      <c r="O67" s="38"/>
      <c r="P67" s="66"/>
      <c r="Q67" s="66"/>
      <c r="R67" s="38"/>
      <c r="S67" s="63"/>
      <c r="T67" s="118"/>
      <c r="U67" s="118"/>
      <c r="V67" s="42"/>
      <c r="W67" s="42"/>
      <c r="X67" s="42"/>
      <c r="Y67" s="42"/>
      <c r="Z67" s="42"/>
      <c r="AA67" s="42"/>
      <c r="AB67" s="42"/>
    </row>
    <row r="68" spans="1:28" s="27" customFormat="1" x14ac:dyDescent="0.3">
      <c r="A68" s="501">
        <v>1</v>
      </c>
      <c r="B68" s="597" t="s">
        <v>16</v>
      </c>
      <c r="C68" s="501">
        <v>3</v>
      </c>
      <c r="D68" s="814" t="s">
        <v>50</v>
      </c>
      <c r="E68" s="503">
        <v>17</v>
      </c>
      <c r="F68" s="979">
        <v>1</v>
      </c>
      <c r="G68" s="979">
        <v>1</v>
      </c>
      <c r="H68" s="980">
        <v>7635</v>
      </c>
      <c r="I68" s="1"/>
      <c r="J68" s="4"/>
      <c r="K68" s="47"/>
      <c r="L68" s="42"/>
      <c r="M68" s="69"/>
      <c r="N68" s="42"/>
      <c r="O68" s="42"/>
      <c r="P68" s="42"/>
      <c r="Q68" s="42"/>
      <c r="R68" s="42"/>
      <c r="S68" s="42"/>
      <c r="T68" s="69"/>
      <c r="U68" s="42"/>
      <c r="V68" s="42"/>
      <c r="W68" s="42"/>
      <c r="X68" s="42"/>
      <c r="Y68" s="42"/>
      <c r="Z68" s="42"/>
      <c r="AA68" s="42"/>
      <c r="AB68" s="42"/>
    </row>
    <row r="69" spans="1:28" s="27" customFormat="1" x14ac:dyDescent="0.3">
      <c r="A69" s="501">
        <v>1</v>
      </c>
      <c r="B69" s="597" t="s">
        <v>16</v>
      </c>
      <c r="C69" s="501">
        <v>3</v>
      </c>
      <c r="D69" s="814" t="s">
        <v>842</v>
      </c>
      <c r="E69" s="503">
        <v>56.24</v>
      </c>
      <c r="F69" s="979">
        <v>1</v>
      </c>
      <c r="G69" s="979">
        <v>1</v>
      </c>
      <c r="H69" s="980">
        <v>7620</v>
      </c>
      <c r="I69" s="1"/>
      <c r="J69" s="1"/>
      <c r="K69" s="42"/>
      <c r="L69" s="460"/>
      <c r="M69" s="93"/>
      <c r="N69" s="66"/>
      <c r="O69" s="38"/>
      <c r="P69" s="66"/>
      <c r="Q69" s="66"/>
      <c r="R69" s="38"/>
      <c r="S69" s="63"/>
      <c r="T69" s="118"/>
      <c r="U69" s="118"/>
      <c r="V69" s="42"/>
      <c r="W69" s="42"/>
      <c r="X69" s="42"/>
      <c r="Y69" s="42"/>
      <c r="Z69" s="42"/>
      <c r="AA69" s="42"/>
      <c r="AB69" s="42"/>
    </row>
    <row r="70" spans="1:28" s="27" customFormat="1" x14ac:dyDescent="0.3">
      <c r="A70" s="501">
        <v>1</v>
      </c>
      <c r="B70" s="597" t="s">
        <v>16</v>
      </c>
      <c r="C70" s="501">
        <v>3</v>
      </c>
      <c r="D70" s="814" t="s">
        <v>843</v>
      </c>
      <c r="E70" s="503">
        <v>74.150000000000006</v>
      </c>
      <c r="F70" s="979">
        <v>1</v>
      </c>
      <c r="G70" s="979">
        <v>1</v>
      </c>
      <c r="H70" s="981">
        <v>7640</v>
      </c>
      <c r="I70" s="1"/>
      <c r="J70" s="4"/>
      <c r="K70" s="47"/>
      <c r="L70" s="42"/>
      <c r="M70" s="69"/>
      <c r="N70" s="42"/>
      <c r="O70" s="473"/>
      <c r="P70" s="473"/>
      <c r="Q70" s="473"/>
      <c r="R70" s="42"/>
      <c r="S70" s="42"/>
      <c r="T70" s="69"/>
      <c r="U70" s="42"/>
      <c r="V70" s="42"/>
      <c r="W70" s="42"/>
      <c r="X70" s="42"/>
      <c r="Y70" s="42"/>
      <c r="Z70" s="42"/>
      <c r="AA70" s="42"/>
      <c r="AB70" s="42"/>
    </row>
    <row r="71" spans="1:28" s="27" customFormat="1" x14ac:dyDescent="0.3">
      <c r="A71" s="501">
        <v>1</v>
      </c>
      <c r="B71" s="597" t="s">
        <v>16</v>
      </c>
      <c r="C71" s="501">
        <v>3</v>
      </c>
      <c r="D71" s="814" t="s">
        <v>52</v>
      </c>
      <c r="E71" s="503">
        <v>3.6</v>
      </c>
      <c r="F71" s="979">
        <v>1</v>
      </c>
      <c r="G71" s="979">
        <v>1</v>
      </c>
      <c r="H71" s="981">
        <v>7645</v>
      </c>
      <c r="I71" s="1"/>
      <c r="J71" s="1"/>
      <c r="K71" s="1"/>
      <c r="L71" s="90"/>
      <c r="M71" s="93"/>
      <c r="N71" s="66"/>
      <c r="O71" s="38"/>
      <c r="P71" s="66"/>
      <c r="Q71" s="66"/>
      <c r="R71" s="38"/>
      <c r="S71" s="63"/>
      <c r="T71" s="118"/>
      <c r="U71" s="118"/>
      <c r="V71" s="42"/>
      <c r="W71" s="42"/>
      <c r="X71" s="42"/>
      <c r="Y71" s="42"/>
      <c r="Z71" s="42"/>
      <c r="AA71" s="42"/>
      <c r="AB71" s="42"/>
    </row>
    <row r="72" spans="1:28" s="27" customFormat="1" x14ac:dyDescent="0.3">
      <c r="A72" s="501">
        <v>1</v>
      </c>
      <c r="B72" s="597" t="s">
        <v>16</v>
      </c>
      <c r="C72" s="501">
        <v>3</v>
      </c>
      <c r="D72" s="504" t="s">
        <v>50</v>
      </c>
      <c r="E72" s="505">
        <v>17.059999999999999</v>
      </c>
      <c r="F72" s="982">
        <v>1</v>
      </c>
      <c r="G72" s="979">
        <v>1</v>
      </c>
      <c r="H72" s="981">
        <v>7635</v>
      </c>
      <c r="I72" s="1"/>
      <c r="J72" s="1"/>
      <c r="K72" s="1"/>
      <c r="L72" s="90"/>
      <c r="M72" s="93"/>
      <c r="N72" s="66"/>
      <c r="O72" s="38"/>
      <c r="P72" s="66"/>
      <c r="Q72" s="66"/>
      <c r="R72" s="38"/>
      <c r="S72" s="63"/>
      <c r="T72" s="118"/>
      <c r="U72" s="118"/>
      <c r="V72" s="42"/>
      <c r="W72" s="42"/>
      <c r="X72" s="42"/>
      <c r="Y72" s="42"/>
      <c r="Z72" s="42"/>
      <c r="AA72" s="42"/>
      <c r="AB72" s="42"/>
    </row>
    <row r="73" spans="1:28" s="27" customFormat="1" x14ac:dyDescent="0.3">
      <c r="A73" s="501">
        <v>1</v>
      </c>
      <c r="B73" s="597" t="s">
        <v>16</v>
      </c>
      <c r="C73" s="501">
        <v>4</v>
      </c>
      <c r="D73" s="814" t="s">
        <v>50</v>
      </c>
      <c r="E73" s="503">
        <v>23.34</v>
      </c>
      <c r="F73" s="979">
        <v>1</v>
      </c>
      <c r="G73" s="979">
        <v>1</v>
      </c>
      <c r="H73" s="981">
        <v>7635</v>
      </c>
      <c r="I73" s="1"/>
      <c r="J73" s="4"/>
      <c r="K73" s="4"/>
      <c r="M73" s="69"/>
      <c r="N73" s="42"/>
      <c r="O73" s="42"/>
      <c r="P73" s="42"/>
      <c r="Q73" s="42"/>
      <c r="R73" s="42"/>
      <c r="S73" s="42"/>
      <c r="T73" s="69"/>
      <c r="U73" s="42"/>
      <c r="V73" s="42"/>
      <c r="W73" s="42"/>
      <c r="X73" s="42"/>
      <c r="Y73" s="42"/>
      <c r="Z73" s="42"/>
      <c r="AA73" s="42"/>
      <c r="AB73" s="42"/>
    </row>
    <row r="74" spans="1:28" s="27" customFormat="1" x14ac:dyDescent="0.3">
      <c r="A74" s="501">
        <v>1</v>
      </c>
      <c r="B74" s="597" t="s">
        <v>16</v>
      </c>
      <c r="C74" s="501">
        <v>4</v>
      </c>
      <c r="D74" s="814" t="s">
        <v>50</v>
      </c>
      <c r="E74" s="503">
        <v>14.95</v>
      </c>
      <c r="F74" s="979">
        <v>1</v>
      </c>
      <c r="G74" s="979">
        <v>1</v>
      </c>
      <c r="H74" s="981">
        <v>7635</v>
      </c>
      <c r="I74" s="1"/>
      <c r="J74" s="1"/>
      <c r="K74" s="1"/>
      <c r="L74" s="90"/>
      <c r="M74" s="93"/>
      <c r="N74" s="66"/>
      <c r="O74" s="38"/>
      <c r="P74" s="66"/>
      <c r="Q74" s="66"/>
      <c r="R74" s="38"/>
      <c r="S74" s="63"/>
      <c r="T74" s="118"/>
      <c r="U74" s="118"/>
      <c r="V74" s="42"/>
      <c r="W74" s="42"/>
      <c r="X74" s="42"/>
      <c r="Y74" s="42"/>
      <c r="Z74" s="42"/>
      <c r="AA74" s="42"/>
      <c r="AB74" s="42"/>
    </row>
    <row r="75" spans="1:28" s="27" customFormat="1" x14ac:dyDescent="0.3">
      <c r="A75" s="501">
        <v>1</v>
      </c>
      <c r="B75" s="597" t="s">
        <v>16</v>
      </c>
      <c r="C75" s="501">
        <v>4</v>
      </c>
      <c r="D75" s="983" t="s">
        <v>50</v>
      </c>
      <c r="E75" s="503">
        <v>14.37</v>
      </c>
      <c r="F75" s="979">
        <v>1</v>
      </c>
      <c r="G75" s="979">
        <v>1</v>
      </c>
      <c r="H75" s="981">
        <v>7635</v>
      </c>
      <c r="I75" s="1"/>
      <c r="J75" s="4"/>
      <c r="K75" s="4"/>
      <c r="M75" s="69"/>
      <c r="N75" s="42"/>
      <c r="O75" s="42"/>
      <c r="P75" s="42"/>
      <c r="Q75" s="42"/>
      <c r="R75" s="42"/>
      <c r="S75" s="42"/>
      <c r="T75" s="69"/>
      <c r="U75" s="42"/>
      <c r="V75" s="42"/>
      <c r="W75" s="42"/>
      <c r="X75" s="42"/>
      <c r="Y75" s="42"/>
      <c r="Z75" s="42"/>
      <c r="AA75" s="42"/>
      <c r="AB75" s="42"/>
    </row>
    <row r="76" spans="1:28" s="27" customFormat="1" x14ac:dyDescent="0.3">
      <c r="A76" s="501">
        <v>1</v>
      </c>
      <c r="B76" s="597" t="s">
        <v>16</v>
      </c>
      <c r="C76" s="501">
        <v>4</v>
      </c>
      <c r="D76" s="814" t="s">
        <v>50</v>
      </c>
      <c r="E76" s="503">
        <v>18.86</v>
      </c>
      <c r="F76" s="979">
        <v>1</v>
      </c>
      <c r="G76" s="979">
        <v>1</v>
      </c>
      <c r="H76" s="981">
        <v>7635</v>
      </c>
      <c r="I76" s="1"/>
      <c r="J76" s="1"/>
      <c r="K76" s="1"/>
      <c r="L76" s="90"/>
      <c r="M76" s="93"/>
      <c r="N76" s="66"/>
      <c r="O76" s="38"/>
      <c r="P76" s="66"/>
      <c r="Q76" s="66"/>
      <c r="R76" s="38"/>
      <c r="S76" s="63"/>
      <c r="T76" s="118"/>
      <c r="U76" s="118"/>
      <c r="V76" s="42"/>
      <c r="W76" s="42"/>
      <c r="X76" s="42"/>
      <c r="Y76" s="42"/>
      <c r="Z76" s="42"/>
      <c r="AA76" s="42"/>
      <c r="AB76" s="42"/>
    </row>
    <row r="77" spans="1:28" s="27" customFormat="1" x14ac:dyDescent="0.3">
      <c r="A77" s="501">
        <v>1</v>
      </c>
      <c r="B77" s="597" t="s">
        <v>16</v>
      </c>
      <c r="C77" s="501">
        <v>4</v>
      </c>
      <c r="D77" s="814" t="s">
        <v>50</v>
      </c>
      <c r="E77" s="503">
        <v>19.920000000000002</v>
      </c>
      <c r="F77" s="979">
        <v>1</v>
      </c>
      <c r="G77" s="979">
        <v>1</v>
      </c>
      <c r="H77" s="981">
        <v>7635</v>
      </c>
      <c r="I77" s="1"/>
      <c r="J77" s="4"/>
      <c r="K77" s="4"/>
      <c r="M77" s="69"/>
      <c r="N77" s="42"/>
      <c r="O77" s="42"/>
      <c r="P77" s="42"/>
      <c r="Q77" s="42"/>
      <c r="R77" s="42"/>
      <c r="S77" s="42"/>
      <c r="T77" s="69"/>
      <c r="U77" s="42"/>
      <c r="V77" s="42"/>
      <c r="W77" s="42"/>
      <c r="X77" s="42"/>
      <c r="Y77" s="42"/>
      <c r="Z77" s="42"/>
      <c r="AA77" s="42"/>
      <c r="AB77" s="42"/>
    </row>
    <row r="78" spans="1:28" s="27" customFormat="1" x14ac:dyDescent="0.3">
      <c r="A78" s="501">
        <v>1</v>
      </c>
      <c r="B78" s="597" t="s">
        <v>16</v>
      </c>
      <c r="C78" s="501">
        <v>4</v>
      </c>
      <c r="D78" s="814" t="s">
        <v>112</v>
      </c>
      <c r="E78" s="503">
        <v>12.2</v>
      </c>
      <c r="F78" s="979">
        <v>1</v>
      </c>
      <c r="G78" s="979">
        <v>1</v>
      </c>
      <c r="H78" s="981">
        <v>7630</v>
      </c>
      <c r="I78" s="1"/>
      <c r="J78" s="1"/>
      <c r="K78" s="1"/>
      <c r="L78" s="90"/>
      <c r="M78" s="93"/>
      <c r="N78" s="66"/>
      <c r="O78" s="38"/>
      <c r="P78" s="66"/>
      <c r="Q78" s="66"/>
      <c r="R78" s="38"/>
      <c r="S78" s="63"/>
      <c r="T78" s="118"/>
      <c r="U78" s="118"/>
      <c r="V78" s="42"/>
      <c r="W78" s="42"/>
      <c r="X78" s="42"/>
      <c r="Y78" s="42"/>
      <c r="Z78" s="42"/>
      <c r="AA78" s="42"/>
      <c r="AB78" s="42"/>
    </row>
    <row r="79" spans="1:28" s="27" customFormat="1" x14ac:dyDescent="0.3">
      <c r="A79" s="501">
        <v>1</v>
      </c>
      <c r="B79" s="597" t="s">
        <v>16</v>
      </c>
      <c r="C79" s="501">
        <v>4</v>
      </c>
      <c r="D79" s="814" t="s">
        <v>112</v>
      </c>
      <c r="E79" s="503">
        <v>41.47</v>
      </c>
      <c r="F79" s="979">
        <v>1</v>
      </c>
      <c r="G79" s="979">
        <v>1</v>
      </c>
      <c r="H79" s="981">
        <v>7630</v>
      </c>
      <c r="I79" s="1"/>
      <c r="J79" s="4"/>
      <c r="K79" s="4"/>
      <c r="M79" s="69"/>
      <c r="N79" s="42"/>
      <c r="O79" s="42"/>
      <c r="P79" s="42"/>
      <c r="Q79" s="42"/>
      <c r="R79" s="42"/>
      <c r="S79" s="42"/>
      <c r="T79" s="69"/>
      <c r="U79" s="42"/>
      <c r="V79" s="42"/>
      <c r="W79" s="42"/>
      <c r="X79" s="42"/>
      <c r="Y79" s="42"/>
      <c r="Z79" s="42"/>
      <c r="AA79" s="42"/>
      <c r="AB79" s="42"/>
    </row>
    <row r="80" spans="1:28" s="27" customFormat="1" x14ac:dyDescent="0.3">
      <c r="A80" s="501">
        <v>1</v>
      </c>
      <c r="B80" s="597" t="s">
        <v>16</v>
      </c>
      <c r="C80" s="501">
        <v>4</v>
      </c>
      <c r="D80" s="814" t="s">
        <v>67</v>
      </c>
      <c r="E80" s="503">
        <v>7.31</v>
      </c>
      <c r="F80" s="979">
        <v>1</v>
      </c>
      <c r="G80" s="979">
        <v>1</v>
      </c>
      <c r="H80" s="980">
        <v>7645</v>
      </c>
      <c r="I80" s="1"/>
      <c r="J80" s="1"/>
      <c r="K80" s="1"/>
      <c r="L80" s="90"/>
      <c r="M80" s="93"/>
      <c r="N80" s="66"/>
      <c r="O80" s="38"/>
      <c r="P80" s="66"/>
      <c r="Q80" s="66"/>
      <c r="R80" s="38"/>
      <c r="S80" s="63"/>
      <c r="T80" s="118"/>
      <c r="U80" s="118"/>
      <c r="V80" s="42"/>
      <c r="W80" s="42"/>
      <c r="X80" s="42"/>
      <c r="Y80" s="42"/>
      <c r="Z80" s="42"/>
      <c r="AA80" s="42"/>
      <c r="AB80" s="42"/>
    </row>
    <row r="81" spans="1:28" s="27" customFormat="1" x14ac:dyDescent="0.3">
      <c r="A81" s="501">
        <v>1</v>
      </c>
      <c r="B81" s="597" t="s">
        <v>16</v>
      </c>
      <c r="C81" s="501">
        <v>4</v>
      </c>
      <c r="D81" s="814" t="s">
        <v>146</v>
      </c>
      <c r="E81" s="503">
        <v>13.38</v>
      </c>
      <c r="F81" s="979">
        <v>1</v>
      </c>
      <c r="G81" s="979">
        <v>1</v>
      </c>
      <c r="H81" s="980">
        <v>7635</v>
      </c>
      <c r="I81" s="1"/>
      <c r="J81" s="4"/>
      <c r="K81" s="4"/>
      <c r="M81" s="69"/>
      <c r="N81" s="42"/>
      <c r="O81" s="42"/>
      <c r="P81" s="42"/>
      <c r="Q81" s="42"/>
      <c r="R81" s="42"/>
      <c r="S81" s="42"/>
      <c r="T81" s="69"/>
      <c r="U81" s="42"/>
      <c r="V81" s="42"/>
      <c r="W81" s="42"/>
      <c r="X81" s="42"/>
      <c r="Y81" s="42"/>
      <c r="Z81" s="42"/>
      <c r="AA81" s="42"/>
      <c r="AB81" s="42"/>
    </row>
    <row r="82" spans="1:28" s="27" customFormat="1" x14ac:dyDescent="0.3">
      <c r="A82" s="501">
        <v>1</v>
      </c>
      <c r="B82" s="597" t="s">
        <v>16</v>
      </c>
      <c r="C82" s="501">
        <v>4</v>
      </c>
      <c r="D82" s="814" t="s">
        <v>51</v>
      </c>
      <c r="E82" s="503">
        <v>13.25</v>
      </c>
      <c r="F82" s="979">
        <v>1</v>
      </c>
      <c r="G82" s="979">
        <v>1</v>
      </c>
      <c r="H82" s="980">
        <v>7645</v>
      </c>
      <c r="I82" s="1"/>
      <c r="J82" s="1"/>
      <c r="K82" s="1"/>
      <c r="L82" s="90"/>
      <c r="M82" s="93"/>
      <c r="N82" s="66"/>
      <c r="O82" s="38"/>
      <c r="P82" s="66"/>
      <c r="Q82" s="66"/>
      <c r="R82" s="38"/>
      <c r="S82" s="63"/>
      <c r="T82" s="118"/>
      <c r="U82" s="118"/>
      <c r="V82" s="42"/>
      <c r="W82" s="42"/>
      <c r="X82" s="42"/>
      <c r="Y82" s="42"/>
      <c r="Z82" s="42"/>
      <c r="AA82" s="42"/>
      <c r="AB82" s="42"/>
    </row>
    <row r="83" spans="1:28" s="27" customFormat="1" x14ac:dyDescent="0.3">
      <c r="A83" s="501">
        <v>1</v>
      </c>
      <c r="B83" s="597" t="s">
        <v>16</v>
      </c>
      <c r="C83" s="501">
        <v>4</v>
      </c>
      <c r="D83" s="814" t="s">
        <v>53</v>
      </c>
      <c r="E83" s="503">
        <v>13.89</v>
      </c>
      <c r="F83" s="979">
        <v>1</v>
      </c>
      <c r="G83" s="979">
        <v>1</v>
      </c>
      <c r="H83" s="980">
        <v>7645</v>
      </c>
      <c r="I83" s="1"/>
      <c r="J83" s="4"/>
      <c r="K83" s="4"/>
      <c r="M83" s="69"/>
      <c r="N83" s="42"/>
      <c r="O83" s="42"/>
      <c r="P83" s="42"/>
      <c r="Q83" s="42"/>
      <c r="R83" s="42"/>
      <c r="S83" s="42"/>
      <c r="T83" s="69"/>
      <c r="U83" s="42"/>
      <c r="V83" s="42"/>
      <c r="W83" s="42"/>
      <c r="X83" s="42"/>
      <c r="Y83" s="42"/>
      <c r="Z83" s="42"/>
      <c r="AA83" s="42"/>
      <c r="AB83" s="42"/>
    </row>
    <row r="84" spans="1:28" s="27" customFormat="1" x14ac:dyDescent="0.3">
      <c r="A84" s="501">
        <v>1</v>
      </c>
      <c r="B84" s="597" t="s">
        <v>16</v>
      </c>
      <c r="C84" s="501">
        <v>4</v>
      </c>
      <c r="D84" s="814" t="s">
        <v>53</v>
      </c>
      <c r="E84" s="503">
        <v>13.89</v>
      </c>
      <c r="F84" s="979">
        <v>1</v>
      </c>
      <c r="G84" s="979">
        <v>1</v>
      </c>
      <c r="H84" s="980">
        <v>7645</v>
      </c>
      <c r="I84" s="1"/>
      <c r="J84" s="1"/>
      <c r="K84" s="1"/>
      <c r="L84" s="90"/>
      <c r="M84" s="93"/>
      <c r="N84" s="66"/>
      <c r="O84" s="38"/>
      <c r="P84" s="66"/>
      <c r="Q84" s="66"/>
      <c r="R84" s="38"/>
      <c r="S84" s="63"/>
      <c r="T84" s="118"/>
      <c r="U84" s="118"/>
      <c r="V84" s="42"/>
      <c r="W84" s="42"/>
      <c r="X84" s="42"/>
      <c r="Y84" s="42"/>
      <c r="Z84" s="42"/>
      <c r="AA84" s="42"/>
      <c r="AB84" s="42"/>
    </row>
    <row r="85" spans="1:28" s="27" customFormat="1" x14ac:dyDescent="0.3">
      <c r="A85" s="501">
        <v>1</v>
      </c>
      <c r="B85" s="597" t="s">
        <v>16</v>
      </c>
      <c r="C85" s="501">
        <v>4</v>
      </c>
      <c r="D85" s="814" t="s">
        <v>53</v>
      </c>
      <c r="E85" s="503">
        <v>13.41</v>
      </c>
      <c r="F85" s="979">
        <v>1</v>
      </c>
      <c r="G85" s="979">
        <v>1</v>
      </c>
      <c r="H85" s="980">
        <v>7645</v>
      </c>
      <c r="I85" s="1"/>
      <c r="J85" s="4"/>
      <c r="K85" s="4"/>
      <c r="M85" s="69"/>
      <c r="N85" s="42"/>
      <c r="O85" s="42"/>
      <c r="P85" s="42"/>
      <c r="Q85" s="42"/>
      <c r="R85" s="42"/>
      <c r="S85" s="42"/>
      <c r="T85" s="69"/>
      <c r="U85" s="42"/>
      <c r="V85" s="42"/>
      <c r="W85" s="42"/>
      <c r="X85" s="42"/>
      <c r="Y85" s="42"/>
      <c r="Z85" s="42"/>
      <c r="AA85" s="42"/>
      <c r="AB85" s="42"/>
    </row>
    <row r="86" spans="1:28" s="27" customFormat="1" x14ac:dyDescent="0.3">
      <c r="A86" s="501">
        <v>1</v>
      </c>
      <c r="B86" s="597" t="s">
        <v>16</v>
      </c>
      <c r="C86" s="501">
        <v>4</v>
      </c>
      <c r="D86" s="814" t="s">
        <v>52</v>
      </c>
      <c r="E86" s="503">
        <v>12.18</v>
      </c>
      <c r="F86" s="979">
        <v>1</v>
      </c>
      <c r="G86" s="979">
        <v>1</v>
      </c>
      <c r="H86" s="980">
        <v>7645</v>
      </c>
      <c r="I86" s="1"/>
      <c r="J86" s="1"/>
      <c r="K86" s="1"/>
      <c r="L86" s="90"/>
      <c r="M86" s="93"/>
      <c r="N86" s="66"/>
      <c r="O86" s="38"/>
      <c r="P86" s="66"/>
      <c r="Q86" s="66"/>
      <c r="R86" s="38"/>
      <c r="S86" s="63"/>
      <c r="T86" s="118"/>
      <c r="U86" s="118"/>
      <c r="V86" s="42"/>
      <c r="W86" s="42"/>
      <c r="X86" s="42"/>
      <c r="Y86" s="42"/>
      <c r="Z86" s="42"/>
      <c r="AA86" s="42"/>
      <c r="AB86" s="42"/>
    </row>
    <row r="87" spans="1:28" s="27" customFormat="1" x14ac:dyDescent="0.3">
      <c r="A87" s="501">
        <v>1</v>
      </c>
      <c r="B87" s="597" t="s">
        <v>16</v>
      </c>
      <c r="C87" s="501">
        <v>4</v>
      </c>
      <c r="D87" s="814" t="s">
        <v>53</v>
      </c>
      <c r="E87" s="503">
        <v>34.65</v>
      </c>
      <c r="F87" s="979">
        <v>1</v>
      </c>
      <c r="G87" s="979">
        <v>1</v>
      </c>
      <c r="H87" s="980">
        <v>7645</v>
      </c>
      <c r="I87" s="1"/>
      <c r="J87" s="4"/>
      <c r="K87" s="4"/>
      <c r="M87" s="69"/>
      <c r="N87" s="42"/>
      <c r="O87" s="42"/>
      <c r="P87" s="42"/>
      <c r="Q87" s="42"/>
      <c r="R87" s="42"/>
      <c r="S87" s="42"/>
      <c r="T87" s="69"/>
      <c r="U87" s="42"/>
      <c r="V87" s="42"/>
      <c r="W87" s="42"/>
      <c r="X87" s="42"/>
      <c r="Y87" s="42"/>
      <c r="Z87" s="42"/>
      <c r="AA87" s="42"/>
      <c r="AB87" s="42"/>
    </row>
    <row r="88" spans="1:28" s="27" customFormat="1" x14ac:dyDescent="0.3">
      <c r="A88" s="501">
        <v>1</v>
      </c>
      <c r="B88" s="597" t="s">
        <v>16</v>
      </c>
      <c r="C88" s="501">
        <v>4</v>
      </c>
      <c r="D88" s="814" t="s">
        <v>53</v>
      </c>
      <c r="E88" s="503">
        <v>16.5</v>
      </c>
      <c r="F88" s="979">
        <v>1</v>
      </c>
      <c r="G88" s="979">
        <v>1</v>
      </c>
      <c r="H88" s="980">
        <v>7645</v>
      </c>
      <c r="I88" s="1"/>
      <c r="J88" s="1"/>
      <c r="K88" s="1"/>
      <c r="L88" s="90"/>
      <c r="M88" s="93"/>
      <c r="N88" s="66"/>
      <c r="O88" s="38"/>
      <c r="P88" s="66"/>
      <c r="Q88" s="66"/>
      <c r="R88" s="38"/>
      <c r="S88" s="63"/>
      <c r="T88" s="118"/>
      <c r="U88" s="118"/>
      <c r="V88" s="42"/>
      <c r="W88" s="42"/>
      <c r="X88" s="42"/>
      <c r="Y88" s="42"/>
      <c r="Z88" s="42"/>
      <c r="AA88" s="42"/>
      <c r="AB88" s="42"/>
    </row>
    <row r="89" spans="1:28" s="27" customFormat="1" x14ac:dyDescent="0.3">
      <c r="A89" s="501">
        <v>1</v>
      </c>
      <c r="B89" s="597" t="s">
        <v>16</v>
      </c>
      <c r="C89" s="501">
        <v>4</v>
      </c>
      <c r="D89" s="814" t="s">
        <v>146</v>
      </c>
      <c r="E89" s="503">
        <v>14.1</v>
      </c>
      <c r="F89" s="979">
        <v>1</v>
      </c>
      <c r="G89" s="979">
        <v>1</v>
      </c>
      <c r="H89" s="980">
        <v>7635</v>
      </c>
      <c r="I89" s="1"/>
      <c r="J89" s="4"/>
      <c r="K89" s="4"/>
      <c r="M89" s="69"/>
      <c r="N89" s="42"/>
      <c r="O89" s="42"/>
      <c r="P89" s="42"/>
      <c r="Q89" s="42"/>
      <c r="R89" s="42"/>
      <c r="S89" s="42"/>
      <c r="T89" s="69"/>
      <c r="U89" s="42"/>
      <c r="V89" s="42"/>
      <c r="W89" s="42"/>
      <c r="X89" s="42"/>
      <c r="Y89" s="42"/>
      <c r="Z89" s="42"/>
      <c r="AA89" s="42"/>
      <c r="AB89" s="42"/>
    </row>
    <row r="90" spans="1:28" s="27" customFormat="1" x14ac:dyDescent="0.3">
      <c r="A90" s="501">
        <v>1</v>
      </c>
      <c r="B90" s="597" t="s">
        <v>16</v>
      </c>
      <c r="C90" s="501">
        <v>4</v>
      </c>
      <c r="D90" s="814" t="s">
        <v>146</v>
      </c>
      <c r="E90" s="503">
        <v>14.5</v>
      </c>
      <c r="F90" s="979">
        <v>1</v>
      </c>
      <c r="G90" s="979">
        <v>1</v>
      </c>
      <c r="H90" s="980">
        <v>7630</v>
      </c>
      <c r="I90" s="1"/>
      <c r="J90" s="1"/>
      <c r="K90" s="1"/>
      <c r="L90" s="90"/>
      <c r="M90" s="93"/>
      <c r="N90" s="66"/>
      <c r="O90" s="38"/>
      <c r="P90" s="66"/>
      <c r="Q90" s="66"/>
      <c r="R90" s="38"/>
      <c r="S90" s="63"/>
      <c r="T90" s="118"/>
      <c r="U90" s="118"/>
      <c r="V90" s="42"/>
      <c r="W90" s="42"/>
      <c r="X90" s="42"/>
      <c r="Y90" s="42"/>
      <c r="Z90" s="42"/>
      <c r="AA90" s="42"/>
      <c r="AB90" s="42"/>
    </row>
    <row r="91" spans="1:28" s="27" customFormat="1" x14ac:dyDescent="0.3">
      <c r="A91" s="501">
        <v>1</v>
      </c>
      <c r="B91" s="597" t="s">
        <v>16</v>
      </c>
      <c r="C91" s="501">
        <v>4</v>
      </c>
      <c r="D91" s="814" t="s">
        <v>146</v>
      </c>
      <c r="E91" s="503">
        <v>14.5</v>
      </c>
      <c r="F91" s="979">
        <v>1</v>
      </c>
      <c r="G91" s="979">
        <v>1</v>
      </c>
      <c r="H91" s="981">
        <v>7630</v>
      </c>
      <c r="I91" s="1"/>
      <c r="J91" s="4"/>
      <c r="K91" s="4"/>
      <c r="M91" s="69"/>
      <c r="N91" s="42"/>
      <c r="O91" s="42"/>
      <c r="P91" s="42"/>
      <c r="Q91" s="42"/>
      <c r="R91" s="42"/>
      <c r="S91" s="42"/>
      <c r="T91" s="69"/>
      <c r="U91" s="42"/>
      <c r="V91" s="42"/>
      <c r="W91" s="42"/>
      <c r="X91" s="42"/>
      <c r="Y91" s="42"/>
      <c r="Z91" s="42"/>
      <c r="AA91" s="42"/>
      <c r="AB91" s="42"/>
    </row>
    <row r="92" spans="1:28" s="27" customFormat="1" x14ac:dyDescent="0.3">
      <c r="A92" s="501">
        <v>1</v>
      </c>
      <c r="B92" s="597" t="s">
        <v>16</v>
      </c>
      <c r="C92" s="501">
        <v>4</v>
      </c>
      <c r="D92" s="814" t="s">
        <v>113</v>
      </c>
      <c r="E92" s="503">
        <v>13.87</v>
      </c>
      <c r="F92" s="979">
        <v>1</v>
      </c>
      <c r="G92" s="979">
        <v>1</v>
      </c>
      <c r="H92" s="981">
        <v>7645</v>
      </c>
      <c r="I92" s="1"/>
      <c r="J92" s="1"/>
      <c r="K92" s="1"/>
      <c r="L92" s="90"/>
      <c r="M92" s="93"/>
      <c r="N92" s="66"/>
      <c r="O92" s="38"/>
      <c r="P92" s="66"/>
      <c r="Q92" s="66"/>
      <c r="R92" s="38"/>
      <c r="S92" s="63"/>
      <c r="T92" s="118"/>
      <c r="U92" s="118"/>
      <c r="V92" s="42"/>
      <c r="W92" s="42"/>
      <c r="X92" s="42"/>
      <c r="Y92" s="42"/>
      <c r="Z92" s="42"/>
      <c r="AA92" s="42"/>
      <c r="AB92" s="42"/>
    </row>
    <row r="93" spans="1:28" s="27" customFormat="1" x14ac:dyDescent="0.3">
      <c r="A93" s="501">
        <v>1</v>
      </c>
      <c r="B93" s="597" t="s">
        <v>16</v>
      </c>
      <c r="C93" s="501">
        <v>4</v>
      </c>
      <c r="D93" s="814" t="s">
        <v>113</v>
      </c>
      <c r="E93" s="503">
        <v>14.1</v>
      </c>
      <c r="F93" s="979">
        <v>1</v>
      </c>
      <c r="G93" s="979">
        <v>1</v>
      </c>
      <c r="H93" s="981">
        <v>7645</v>
      </c>
      <c r="I93" s="1"/>
      <c r="J93" s="4"/>
      <c r="K93" s="4"/>
      <c r="M93" s="69"/>
      <c r="N93" s="42"/>
      <c r="O93" s="42"/>
      <c r="P93" s="42"/>
      <c r="Q93" s="42"/>
      <c r="R93" s="42"/>
      <c r="S93" s="42"/>
      <c r="T93" s="69"/>
      <c r="U93" s="42"/>
      <c r="V93" s="42"/>
      <c r="W93" s="42"/>
      <c r="X93" s="42"/>
      <c r="Y93" s="42"/>
      <c r="Z93" s="42"/>
      <c r="AA93" s="42"/>
      <c r="AB93" s="42"/>
    </row>
    <row r="94" spans="1:28" s="27" customFormat="1" x14ac:dyDescent="0.3">
      <c r="A94" s="501">
        <v>1</v>
      </c>
      <c r="B94" s="597" t="s">
        <v>16</v>
      </c>
      <c r="C94" s="501">
        <v>4</v>
      </c>
      <c r="D94" s="814" t="s">
        <v>50</v>
      </c>
      <c r="E94" s="503">
        <v>14.65</v>
      </c>
      <c r="F94" s="979">
        <v>1</v>
      </c>
      <c r="G94" s="979">
        <v>1</v>
      </c>
      <c r="H94" s="980">
        <v>7635</v>
      </c>
      <c r="I94" s="1"/>
      <c r="J94" s="1"/>
      <c r="K94" s="1"/>
      <c r="L94" s="90"/>
      <c r="M94" s="93"/>
      <c r="N94" s="66"/>
      <c r="O94" s="38"/>
      <c r="P94" s="66"/>
      <c r="Q94" s="66"/>
      <c r="R94" s="38"/>
      <c r="S94" s="63"/>
      <c r="T94" s="118"/>
      <c r="U94" s="118"/>
      <c r="V94" s="42"/>
      <c r="W94" s="42"/>
      <c r="X94" s="42"/>
      <c r="Y94" s="42"/>
      <c r="Z94" s="42"/>
      <c r="AA94" s="42"/>
      <c r="AB94" s="42"/>
    </row>
    <row r="95" spans="1:28" s="27" customFormat="1" x14ac:dyDescent="0.3">
      <c r="A95" s="501">
        <v>1</v>
      </c>
      <c r="B95" s="597" t="s">
        <v>16</v>
      </c>
      <c r="C95" s="501">
        <v>4</v>
      </c>
      <c r="D95" s="814" t="s">
        <v>50</v>
      </c>
      <c r="E95" s="503">
        <v>14.5</v>
      </c>
      <c r="F95" s="979">
        <v>1</v>
      </c>
      <c r="G95" s="979">
        <v>1</v>
      </c>
      <c r="H95" s="980">
        <v>7635</v>
      </c>
      <c r="I95" s="1"/>
      <c r="J95" s="4"/>
      <c r="K95" s="4"/>
      <c r="M95" s="69"/>
      <c r="N95" s="42"/>
      <c r="O95" s="42"/>
      <c r="P95" s="42"/>
      <c r="Q95" s="42"/>
      <c r="R95" s="42"/>
      <c r="S95" s="42"/>
      <c r="T95" s="69"/>
      <c r="U95" s="42"/>
      <c r="V95" s="42"/>
      <c r="W95" s="42"/>
      <c r="X95" s="42"/>
      <c r="Y95" s="42"/>
      <c r="Z95" s="42"/>
      <c r="AA95" s="42"/>
      <c r="AB95" s="42"/>
    </row>
    <row r="96" spans="1:28" s="27" customFormat="1" x14ac:dyDescent="0.3">
      <c r="A96" s="501">
        <v>1</v>
      </c>
      <c r="B96" s="597" t="s">
        <v>16</v>
      </c>
      <c r="C96" s="501">
        <v>4</v>
      </c>
      <c r="D96" s="814" t="s">
        <v>50</v>
      </c>
      <c r="E96" s="503">
        <v>14.62</v>
      </c>
      <c r="F96" s="979">
        <v>1</v>
      </c>
      <c r="G96" s="979">
        <v>1</v>
      </c>
      <c r="H96" s="980">
        <v>7635</v>
      </c>
      <c r="I96" s="1"/>
      <c r="J96" s="1"/>
      <c r="K96" s="1"/>
      <c r="L96" s="90"/>
      <c r="M96" s="93"/>
      <c r="N96" s="66"/>
      <c r="O96" s="38"/>
      <c r="P96" s="66"/>
      <c r="Q96" s="66"/>
      <c r="R96" s="38"/>
      <c r="S96" s="63"/>
      <c r="T96" s="118"/>
      <c r="U96" s="118"/>
      <c r="V96" s="42"/>
      <c r="W96" s="42"/>
      <c r="X96" s="42"/>
      <c r="Y96" s="42"/>
      <c r="Z96" s="42"/>
      <c r="AA96" s="42"/>
      <c r="AB96" s="42"/>
    </row>
    <row r="97" spans="1:28" s="27" customFormat="1" x14ac:dyDescent="0.3">
      <c r="A97" s="501">
        <v>1</v>
      </c>
      <c r="B97" s="597" t="s">
        <v>16</v>
      </c>
      <c r="C97" s="501">
        <v>4</v>
      </c>
      <c r="D97" s="814" t="s">
        <v>50</v>
      </c>
      <c r="E97" s="503">
        <v>14.89</v>
      </c>
      <c r="F97" s="979">
        <v>1</v>
      </c>
      <c r="G97" s="979">
        <v>1</v>
      </c>
      <c r="H97" s="981">
        <v>7635</v>
      </c>
      <c r="I97" s="1"/>
      <c r="J97" s="4"/>
      <c r="K97" s="4"/>
      <c r="M97" s="69"/>
      <c r="N97" s="42"/>
      <c r="O97" s="42"/>
      <c r="P97" s="42"/>
      <c r="Q97" s="42"/>
      <c r="R97" s="42"/>
      <c r="S97" s="42"/>
      <c r="T97" s="69"/>
      <c r="U97" s="42"/>
      <c r="V97" s="42"/>
      <c r="W97" s="42"/>
      <c r="X97" s="42"/>
      <c r="Y97" s="42"/>
      <c r="Z97" s="42"/>
      <c r="AA97" s="42"/>
      <c r="AB97" s="42"/>
    </row>
    <row r="98" spans="1:28" s="27" customFormat="1" x14ac:dyDescent="0.3">
      <c r="A98" s="501">
        <v>1</v>
      </c>
      <c r="B98" s="597" t="s">
        <v>16</v>
      </c>
      <c r="C98" s="501">
        <v>4</v>
      </c>
      <c r="D98" s="814" t="s">
        <v>67</v>
      </c>
      <c r="E98" s="503">
        <v>6</v>
      </c>
      <c r="F98" s="979">
        <v>1</v>
      </c>
      <c r="G98" s="979">
        <v>1</v>
      </c>
      <c r="H98" s="981">
        <v>7645</v>
      </c>
      <c r="I98" s="1"/>
      <c r="J98" s="1"/>
      <c r="K98" s="1"/>
      <c r="L98" s="90"/>
      <c r="M98" s="93"/>
      <c r="N98" s="66"/>
      <c r="O98" s="38"/>
      <c r="P98" s="66"/>
      <c r="Q98" s="66"/>
      <c r="R98" s="38"/>
      <c r="S98" s="63"/>
      <c r="T98" s="118"/>
      <c r="U98" s="118"/>
      <c r="V98" s="42"/>
      <c r="W98" s="42"/>
      <c r="X98" s="42"/>
      <c r="Y98" s="42"/>
      <c r="Z98" s="42"/>
      <c r="AA98" s="42"/>
      <c r="AB98" s="42"/>
    </row>
    <row r="99" spans="1:28" s="27" customFormat="1" x14ac:dyDescent="0.3">
      <c r="A99" s="501">
        <v>1</v>
      </c>
      <c r="B99" s="597" t="s">
        <v>16</v>
      </c>
      <c r="C99" s="501">
        <v>4</v>
      </c>
      <c r="D99" s="814" t="s">
        <v>69</v>
      </c>
      <c r="E99" s="503">
        <v>9.27</v>
      </c>
      <c r="F99" s="979">
        <v>1</v>
      </c>
      <c r="G99" s="979">
        <v>1</v>
      </c>
      <c r="H99" s="981">
        <v>7630</v>
      </c>
      <c r="I99" s="1"/>
      <c r="J99" s="4"/>
      <c r="K99" s="4"/>
      <c r="M99" s="69"/>
      <c r="N99" s="42"/>
      <c r="O99" s="42"/>
      <c r="P99" s="42"/>
      <c r="Q99" s="42"/>
      <c r="R99" s="42"/>
      <c r="S99" s="42"/>
      <c r="T99" s="69"/>
      <c r="U99" s="42"/>
      <c r="V99" s="42"/>
      <c r="W99" s="42"/>
      <c r="X99" s="42"/>
      <c r="Y99" s="42"/>
      <c r="Z99" s="42"/>
      <c r="AA99" s="42"/>
      <c r="AB99" s="42"/>
    </row>
    <row r="100" spans="1:28" s="27" customFormat="1" x14ac:dyDescent="0.3">
      <c r="A100" s="501">
        <v>1</v>
      </c>
      <c r="B100" s="597" t="s">
        <v>16</v>
      </c>
      <c r="C100" s="501">
        <v>4</v>
      </c>
      <c r="D100" s="814" t="s">
        <v>70</v>
      </c>
      <c r="E100" s="503">
        <v>13.7</v>
      </c>
      <c r="F100" s="979">
        <v>1</v>
      </c>
      <c r="G100" s="979">
        <v>1</v>
      </c>
      <c r="H100" s="981">
        <v>7635</v>
      </c>
      <c r="I100" s="1"/>
      <c r="J100" s="1"/>
      <c r="K100" s="1"/>
      <c r="L100" s="90"/>
      <c r="M100" s="93"/>
      <c r="N100" s="66"/>
      <c r="O100" s="38"/>
      <c r="P100" s="66"/>
      <c r="Q100" s="66"/>
      <c r="R100" s="38"/>
      <c r="S100" s="63"/>
      <c r="T100" s="118"/>
      <c r="U100" s="118"/>
      <c r="V100" s="42"/>
      <c r="W100" s="42"/>
      <c r="X100" s="42"/>
      <c r="Y100" s="42"/>
      <c r="Z100" s="42"/>
      <c r="AA100" s="42"/>
      <c r="AB100" s="42"/>
    </row>
    <row r="101" spans="1:28" s="27" customFormat="1" x14ac:dyDescent="0.3">
      <c r="A101" s="501">
        <v>1</v>
      </c>
      <c r="B101" s="597" t="s">
        <v>16</v>
      </c>
      <c r="C101" s="501">
        <v>4</v>
      </c>
      <c r="D101" s="814" t="s">
        <v>114</v>
      </c>
      <c r="E101" s="503">
        <v>2.06</v>
      </c>
      <c r="F101" s="979">
        <v>1</v>
      </c>
      <c r="G101" s="979">
        <v>1</v>
      </c>
      <c r="H101" s="981">
        <v>7635</v>
      </c>
      <c r="I101" s="1"/>
      <c r="J101" s="4"/>
      <c r="K101" s="4"/>
      <c r="M101" s="69"/>
      <c r="N101" s="42"/>
      <c r="O101" s="42"/>
      <c r="P101" s="42"/>
      <c r="Q101" s="42"/>
      <c r="R101" s="42"/>
      <c r="S101" s="42"/>
      <c r="T101" s="69"/>
      <c r="U101" s="42"/>
      <c r="V101" s="42"/>
      <c r="W101" s="42"/>
      <c r="X101" s="42"/>
      <c r="Y101" s="42"/>
      <c r="Z101" s="42"/>
      <c r="AA101" s="42"/>
      <c r="AB101" s="42"/>
    </row>
    <row r="102" spans="1:28" s="27" customFormat="1" x14ac:dyDescent="0.3">
      <c r="A102" s="501">
        <v>1</v>
      </c>
      <c r="B102" s="597" t="s">
        <v>290</v>
      </c>
      <c r="C102" s="506">
        <v>1</v>
      </c>
      <c r="D102" s="814" t="s">
        <v>438</v>
      </c>
      <c r="E102" s="507">
        <v>10.72</v>
      </c>
      <c r="F102" s="984">
        <v>1</v>
      </c>
      <c r="G102" s="984">
        <v>1</v>
      </c>
      <c r="H102" s="981">
        <v>7640</v>
      </c>
      <c r="I102" s="1"/>
      <c r="J102" s="775"/>
      <c r="K102" s="775"/>
      <c r="M102" s="69"/>
      <c r="N102" s="42"/>
      <c r="O102" s="42"/>
      <c r="P102" s="42"/>
      <c r="Q102" s="42"/>
      <c r="R102" s="42"/>
      <c r="S102" s="42"/>
      <c r="T102" s="69"/>
      <c r="U102" s="42"/>
      <c r="V102" s="42"/>
      <c r="W102" s="42"/>
      <c r="X102" s="42"/>
      <c r="Y102" s="42"/>
      <c r="Z102" s="42"/>
      <c r="AA102" s="42"/>
      <c r="AB102" s="42"/>
    </row>
    <row r="103" spans="1:28" s="27" customFormat="1" x14ac:dyDescent="0.3">
      <c r="A103" s="501">
        <v>1</v>
      </c>
      <c r="B103" s="597" t="s">
        <v>290</v>
      </c>
      <c r="C103" s="506">
        <v>2</v>
      </c>
      <c r="D103" s="814" t="s">
        <v>51</v>
      </c>
      <c r="E103" s="507">
        <v>12.73</v>
      </c>
      <c r="F103" s="984">
        <v>1</v>
      </c>
      <c r="G103" s="984">
        <v>1</v>
      </c>
      <c r="H103" s="981">
        <v>7640</v>
      </c>
      <c r="I103" s="1"/>
      <c r="J103" s="775"/>
      <c r="K103" s="775"/>
      <c r="M103" s="69"/>
      <c r="N103" s="42"/>
      <c r="O103" s="42"/>
      <c r="P103" s="42"/>
      <c r="Q103" s="42"/>
      <c r="R103" s="42"/>
      <c r="S103" s="42"/>
      <c r="T103" s="69"/>
      <c r="U103" s="42"/>
      <c r="V103" s="42"/>
      <c r="W103" s="42"/>
      <c r="X103" s="42"/>
      <c r="Y103" s="42"/>
      <c r="Z103" s="42"/>
      <c r="AA103" s="42"/>
      <c r="AB103" s="42"/>
    </row>
    <row r="104" spans="1:28" s="27" customFormat="1" x14ac:dyDescent="0.3">
      <c r="A104" s="501">
        <v>1</v>
      </c>
      <c r="B104" s="597" t="s">
        <v>290</v>
      </c>
      <c r="C104" s="506">
        <v>2</v>
      </c>
      <c r="D104" s="814" t="s">
        <v>51</v>
      </c>
      <c r="E104" s="507">
        <v>9.25</v>
      </c>
      <c r="F104" s="984">
        <v>1</v>
      </c>
      <c r="G104" s="984">
        <v>1</v>
      </c>
      <c r="H104" s="980">
        <v>7645</v>
      </c>
      <c r="I104" s="1"/>
      <c r="J104" s="775"/>
      <c r="K104" s="775"/>
      <c r="M104" s="69"/>
      <c r="N104" s="42"/>
      <c r="O104" s="42"/>
      <c r="P104" s="42"/>
      <c r="Q104" s="42"/>
      <c r="R104" s="42"/>
      <c r="S104" s="42"/>
      <c r="T104" s="69"/>
      <c r="U104" s="42"/>
      <c r="V104" s="42"/>
      <c r="W104" s="42"/>
      <c r="X104" s="42"/>
      <c r="Y104" s="42"/>
      <c r="Z104" s="42"/>
      <c r="AA104" s="42"/>
      <c r="AB104" s="42"/>
    </row>
    <row r="105" spans="1:28" s="27" customFormat="1" x14ac:dyDescent="0.3">
      <c r="A105" s="501">
        <v>1</v>
      </c>
      <c r="B105" s="597" t="s">
        <v>290</v>
      </c>
      <c r="C105" s="506">
        <v>2</v>
      </c>
      <c r="D105" s="814" t="s">
        <v>439</v>
      </c>
      <c r="E105" s="507">
        <v>23.47</v>
      </c>
      <c r="F105" s="984">
        <v>1</v>
      </c>
      <c r="G105" s="984">
        <v>1</v>
      </c>
      <c r="H105" s="980">
        <v>7645</v>
      </c>
      <c r="I105" s="1"/>
      <c r="J105" s="775"/>
      <c r="K105" s="775"/>
      <c r="M105" s="69"/>
      <c r="N105" s="42"/>
      <c r="O105" s="42"/>
      <c r="P105" s="42"/>
      <c r="Q105" s="42"/>
      <c r="R105" s="42"/>
      <c r="S105" s="42"/>
      <c r="T105" s="69"/>
      <c r="U105" s="42"/>
      <c r="V105" s="42"/>
      <c r="W105" s="42"/>
      <c r="X105" s="42"/>
      <c r="Y105" s="42"/>
      <c r="Z105" s="42"/>
      <c r="AA105" s="42"/>
      <c r="AB105" s="42"/>
    </row>
    <row r="106" spans="1:28" s="27" customFormat="1" x14ac:dyDescent="0.3">
      <c r="A106" s="501">
        <v>1</v>
      </c>
      <c r="B106" s="597" t="s">
        <v>290</v>
      </c>
      <c r="C106" s="506">
        <v>2</v>
      </c>
      <c r="D106" s="814" t="s">
        <v>51</v>
      </c>
      <c r="E106" s="507">
        <v>20.97</v>
      </c>
      <c r="F106" s="984">
        <v>1</v>
      </c>
      <c r="G106" s="984">
        <v>1</v>
      </c>
      <c r="H106" s="981">
        <v>7645</v>
      </c>
      <c r="I106" s="1"/>
      <c r="J106" s="775"/>
      <c r="K106" s="775"/>
      <c r="M106" s="69"/>
      <c r="N106" s="42"/>
      <c r="O106" s="42"/>
      <c r="P106" s="42"/>
      <c r="Q106" s="42"/>
      <c r="R106" s="42"/>
      <c r="S106" s="42"/>
      <c r="T106" s="69"/>
      <c r="U106" s="42"/>
      <c r="V106" s="42"/>
      <c r="W106" s="42"/>
      <c r="X106" s="42"/>
      <c r="Y106" s="42"/>
      <c r="Z106" s="42"/>
      <c r="AA106" s="42"/>
      <c r="AB106" s="42"/>
    </row>
    <row r="107" spans="1:28" s="27" customFormat="1" x14ac:dyDescent="0.3">
      <c r="A107" s="501">
        <v>1</v>
      </c>
      <c r="B107" s="597" t="s">
        <v>290</v>
      </c>
      <c r="C107" s="506">
        <v>2</v>
      </c>
      <c r="D107" s="814" t="s">
        <v>51</v>
      </c>
      <c r="E107" s="507">
        <v>15.13</v>
      </c>
      <c r="F107" s="984">
        <v>1</v>
      </c>
      <c r="G107" s="984">
        <v>1</v>
      </c>
      <c r="H107" s="980">
        <v>7645</v>
      </c>
      <c r="I107" s="1"/>
      <c r="J107" s="803"/>
      <c r="K107" s="803"/>
      <c r="M107" s="69"/>
      <c r="N107" s="42"/>
      <c r="O107" s="42"/>
      <c r="P107" s="42"/>
      <c r="Q107" s="42"/>
      <c r="R107" s="42"/>
      <c r="S107" s="42"/>
      <c r="T107" s="69"/>
      <c r="U107" s="42"/>
      <c r="V107" s="42"/>
      <c r="W107" s="42"/>
      <c r="X107" s="42"/>
      <c r="Y107" s="42"/>
      <c r="Z107" s="42"/>
      <c r="AA107" s="42"/>
      <c r="AB107" s="42"/>
    </row>
    <row r="108" spans="1:28" s="27" customFormat="1" x14ac:dyDescent="0.3">
      <c r="A108" s="501">
        <v>1</v>
      </c>
      <c r="B108" s="597" t="s">
        <v>290</v>
      </c>
      <c r="C108" s="506">
        <v>2</v>
      </c>
      <c r="D108" s="814" t="s">
        <v>73</v>
      </c>
      <c r="E108" s="507">
        <v>14.37</v>
      </c>
      <c r="F108" s="984">
        <v>1</v>
      </c>
      <c r="G108" s="984">
        <v>1</v>
      </c>
      <c r="H108" s="980">
        <v>7645</v>
      </c>
      <c r="I108" s="1"/>
      <c r="J108" s="803"/>
      <c r="K108" s="803"/>
      <c r="M108" s="69"/>
      <c r="N108" s="42"/>
      <c r="O108" s="42"/>
      <c r="P108" s="42"/>
      <c r="Q108" s="42"/>
      <c r="R108" s="42"/>
      <c r="S108" s="42"/>
      <c r="T108" s="69"/>
      <c r="U108" s="42"/>
      <c r="V108" s="42"/>
      <c r="W108" s="42"/>
      <c r="X108" s="42"/>
      <c r="Y108" s="42"/>
      <c r="Z108" s="42"/>
      <c r="AA108" s="42"/>
      <c r="AB108" s="42"/>
    </row>
    <row r="109" spans="1:28" s="27" customFormat="1" x14ac:dyDescent="0.3">
      <c r="A109" s="501">
        <v>1</v>
      </c>
      <c r="B109" s="597" t="s">
        <v>290</v>
      </c>
      <c r="C109" s="506">
        <v>3</v>
      </c>
      <c r="D109" s="814" t="s">
        <v>50</v>
      </c>
      <c r="E109" s="507">
        <v>17.64</v>
      </c>
      <c r="F109" s="984">
        <v>1</v>
      </c>
      <c r="G109" s="984">
        <v>1</v>
      </c>
      <c r="H109" s="980">
        <v>7635</v>
      </c>
      <c r="I109" s="1"/>
      <c r="J109" s="803"/>
      <c r="K109" s="803"/>
      <c r="M109" s="69"/>
      <c r="N109" s="42"/>
      <c r="O109" s="42"/>
      <c r="P109" s="42"/>
      <c r="Q109" s="42"/>
      <c r="R109" s="42"/>
      <c r="S109" s="42"/>
      <c r="T109" s="69"/>
      <c r="U109" s="42"/>
      <c r="V109" s="42"/>
      <c r="W109" s="42"/>
      <c r="X109" s="42"/>
      <c r="Y109" s="42"/>
      <c r="Z109" s="42"/>
      <c r="AA109" s="42"/>
      <c r="AB109" s="42"/>
    </row>
    <row r="110" spans="1:28" s="27" customFormat="1" x14ac:dyDescent="0.3">
      <c r="A110" s="501">
        <v>1</v>
      </c>
      <c r="B110" s="597" t="s">
        <v>290</v>
      </c>
      <c r="C110" s="506">
        <v>3</v>
      </c>
      <c r="D110" s="814" t="s">
        <v>50</v>
      </c>
      <c r="E110" s="507">
        <v>23.52</v>
      </c>
      <c r="F110" s="984">
        <v>1</v>
      </c>
      <c r="G110" s="984">
        <v>1</v>
      </c>
      <c r="H110" s="980">
        <v>7635</v>
      </c>
      <c r="I110" s="1"/>
      <c r="J110" s="803"/>
      <c r="K110" s="803"/>
      <c r="M110" s="69"/>
      <c r="N110" s="42"/>
      <c r="O110" s="42"/>
      <c r="P110" s="42"/>
      <c r="Q110" s="42"/>
      <c r="R110" s="42"/>
      <c r="S110" s="42"/>
      <c r="T110" s="69"/>
      <c r="U110" s="42"/>
      <c r="V110" s="42"/>
      <c r="W110" s="42"/>
      <c r="X110" s="42"/>
      <c r="Y110" s="42"/>
      <c r="Z110" s="42"/>
      <c r="AA110" s="42"/>
      <c r="AB110" s="42"/>
    </row>
    <row r="111" spans="1:28" s="27" customFormat="1" x14ac:dyDescent="0.3">
      <c r="A111" s="501">
        <v>1</v>
      </c>
      <c r="B111" s="597" t="s">
        <v>290</v>
      </c>
      <c r="C111" s="506">
        <v>3</v>
      </c>
      <c r="D111" s="814" t="s">
        <v>70</v>
      </c>
      <c r="E111" s="507">
        <v>21.4</v>
      </c>
      <c r="F111" s="984">
        <v>1</v>
      </c>
      <c r="G111" s="984">
        <v>1</v>
      </c>
      <c r="H111" s="980">
        <v>7635</v>
      </c>
      <c r="I111" s="1"/>
      <c r="J111" s="803"/>
      <c r="K111" s="803"/>
      <c r="M111" s="69"/>
      <c r="N111" s="42"/>
      <c r="O111" s="42"/>
      <c r="P111" s="42"/>
      <c r="Q111" s="42"/>
      <c r="R111" s="42"/>
      <c r="S111" s="42"/>
      <c r="T111" s="69"/>
      <c r="U111" s="42"/>
      <c r="V111" s="42"/>
      <c r="W111" s="42"/>
      <c r="X111" s="42"/>
      <c r="Y111" s="42"/>
      <c r="Z111" s="42"/>
      <c r="AA111" s="42"/>
      <c r="AB111" s="42"/>
    </row>
    <row r="112" spans="1:28" s="27" customFormat="1" x14ac:dyDescent="0.3">
      <c r="A112" s="501">
        <v>1</v>
      </c>
      <c r="B112" s="597" t="s">
        <v>290</v>
      </c>
      <c r="C112" s="506">
        <v>3</v>
      </c>
      <c r="D112" s="814" t="s">
        <v>50</v>
      </c>
      <c r="E112" s="507">
        <v>102.73</v>
      </c>
      <c r="F112" s="984">
        <v>1</v>
      </c>
      <c r="G112" s="984">
        <v>1</v>
      </c>
      <c r="H112" s="980">
        <v>7635</v>
      </c>
      <c r="I112" s="1"/>
      <c r="J112" s="803"/>
      <c r="K112" s="803"/>
      <c r="M112" s="69"/>
      <c r="N112" s="42"/>
      <c r="O112" s="42"/>
      <c r="P112" s="42"/>
      <c r="Q112" s="42"/>
      <c r="R112" s="42"/>
      <c r="S112" s="42"/>
      <c r="T112" s="69"/>
      <c r="U112" s="42"/>
      <c r="V112" s="42"/>
      <c r="W112" s="42"/>
      <c r="X112" s="42"/>
      <c r="Y112" s="42"/>
      <c r="Z112" s="42"/>
      <c r="AA112" s="42"/>
      <c r="AB112" s="42"/>
    </row>
    <row r="113" spans="1:28" s="27" customFormat="1" x14ac:dyDescent="0.3">
      <c r="A113" s="501">
        <v>1</v>
      </c>
      <c r="B113" s="597" t="s">
        <v>291</v>
      </c>
      <c r="C113" s="501">
        <v>-1</v>
      </c>
      <c r="D113" s="814" t="s">
        <v>115</v>
      </c>
      <c r="E113" s="503">
        <v>60.05</v>
      </c>
      <c r="F113" s="979">
        <v>1</v>
      </c>
      <c r="G113" s="979">
        <v>1</v>
      </c>
      <c r="H113" s="985">
        <v>7640</v>
      </c>
      <c r="I113" s="1"/>
      <c r="J113" s="803"/>
      <c r="K113" s="803"/>
      <c r="M113" s="69"/>
      <c r="N113" s="42"/>
      <c r="O113" s="42"/>
      <c r="P113" s="42"/>
      <c r="Q113" s="42"/>
      <c r="R113" s="42"/>
      <c r="S113" s="42"/>
      <c r="T113" s="69"/>
      <c r="U113" s="42"/>
      <c r="V113" s="42"/>
      <c r="W113" s="42"/>
      <c r="X113" s="42"/>
      <c r="Y113" s="42"/>
      <c r="Z113" s="42"/>
      <c r="AA113" s="42"/>
      <c r="AB113" s="42"/>
    </row>
    <row r="114" spans="1:28" s="27" customFormat="1" x14ac:dyDescent="0.3">
      <c r="A114" s="501">
        <v>1</v>
      </c>
      <c r="B114" s="597" t="s">
        <v>291</v>
      </c>
      <c r="C114" s="501">
        <v>-1</v>
      </c>
      <c r="D114" s="814" t="s">
        <v>116</v>
      </c>
      <c r="E114" s="503">
        <v>21</v>
      </c>
      <c r="F114" s="979">
        <v>1</v>
      </c>
      <c r="G114" s="979">
        <v>1</v>
      </c>
      <c r="H114" s="985">
        <v>7640</v>
      </c>
      <c r="I114" s="1"/>
      <c r="J114" s="803"/>
      <c r="K114" s="803"/>
      <c r="M114" s="69"/>
      <c r="N114" s="42"/>
      <c r="O114" s="42"/>
      <c r="P114" s="42"/>
      <c r="Q114" s="42"/>
      <c r="R114" s="42"/>
      <c r="S114" s="42"/>
      <c r="T114" s="69"/>
      <c r="U114" s="42"/>
      <c r="V114" s="42"/>
      <c r="W114" s="42"/>
      <c r="X114" s="42"/>
      <c r="Y114" s="42"/>
      <c r="Z114" s="42"/>
      <c r="AA114" s="42"/>
      <c r="AB114" s="42"/>
    </row>
    <row r="115" spans="1:28" s="27" customFormat="1" x14ac:dyDescent="0.3">
      <c r="A115" s="501">
        <v>1</v>
      </c>
      <c r="B115" s="597" t="s">
        <v>291</v>
      </c>
      <c r="C115" s="501">
        <v>-1</v>
      </c>
      <c r="D115" s="814" t="s">
        <v>117</v>
      </c>
      <c r="E115" s="503">
        <v>4.2</v>
      </c>
      <c r="F115" s="979">
        <v>1</v>
      </c>
      <c r="G115" s="979">
        <v>1</v>
      </c>
      <c r="H115" s="985">
        <v>7640</v>
      </c>
      <c r="I115" s="1"/>
      <c r="J115" s="803"/>
      <c r="K115" s="803"/>
      <c r="M115" s="69"/>
      <c r="N115" s="42"/>
      <c r="O115" s="42"/>
      <c r="P115" s="42"/>
      <c r="Q115" s="42"/>
      <c r="R115" s="42"/>
      <c r="S115" s="42"/>
      <c r="T115" s="69"/>
      <c r="U115" s="42"/>
      <c r="V115" s="42"/>
      <c r="W115" s="42"/>
      <c r="X115" s="42"/>
      <c r="Y115" s="42"/>
      <c r="Z115" s="42"/>
      <c r="AA115" s="42"/>
      <c r="AB115" s="42"/>
    </row>
    <row r="116" spans="1:28" s="27" customFormat="1" x14ac:dyDescent="0.3">
      <c r="A116" s="501">
        <v>1</v>
      </c>
      <c r="B116" s="597" t="s">
        <v>325</v>
      </c>
      <c r="C116" s="501">
        <v>3</v>
      </c>
      <c r="D116" s="504" t="s">
        <v>50</v>
      </c>
      <c r="E116" s="505">
        <v>25.61</v>
      </c>
      <c r="F116" s="982">
        <v>1</v>
      </c>
      <c r="G116" s="982">
        <v>1</v>
      </c>
      <c r="H116" s="597">
        <v>7635</v>
      </c>
      <c r="I116" s="1"/>
      <c r="J116" s="803"/>
      <c r="K116" s="803"/>
      <c r="M116" s="69"/>
      <c r="N116" s="42"/>
      <c r="O116" s="42"/>
      <c r="P116" s="42"/>
      <c r="Q116" s="42"/>
      <c r="R116" s="42"/>
      <c r="S116" s="42"/>
      <c r="T116" s="69"/>
      <c r="U116" s="42"/>
      <c r="V116" s="42"/>
      <c r="W116" s="42"/>
      <c r="X116" s="42"/>
      <c r="Y116" s="42"/>
      <c r="Z116" s="42"/>
      <c r="AA116" s="42"/>
      <c r="AB116" s="42"/>
    </row>
    <row r="117" spans="1:28" s="27" customFormat="1" x14ac:dyDescent="0.3">
      <c r="A117" s="501">
        <v>1</v>
      </c>
      <c r="B117" s="597" t="s">
        <v>325</v>
      </c>
      <c r="C117" s="501">
        <v>3</v>
      </c>
      <c r="D117" s="504" t="s">
        <v>844</v>
      </c>
      <c r="E117" s="505">
        <v>15.21</v>
      </c>
      <c r="F117" s="982">
        <v>1</v>
      </c>
      <c r="G117" s="982">
        <v>2</v>
      </c>
      <c r="H117" s="597">
        <v>7635</v>
      </c>
      <c r="I117" s="1"/>
      <c r="J117" s="803"/>
      <c r="K117" s="803"/>
      <c r="M117" s="69"/>
      <c r="N117" s="42"/>
      <c r="O117" s="42"/>
      <c r="P117" s="42"/>
      <c r="Q117" s="42"/>
      <c r="R117" s="42"/>
      <c r="S117" s="42"/>
      <c r="T117" s="69"/>
      <c r="U117" s="42"/>
      <c r="V117" s="42"/>
      <c r="W117" s="42"/>
      <c r="X117" s="42"/>
      <c r="Y117" s="42"/>
      <c r="Z117" s="42"/>
      <c r="AA117" s="42"/>
      <c r="AB117" s="42"/>
    </row>
    <row r="118" spans="1:28" s="27" customFormat="1" x14ac:dyDescent="0.3">
      <c r="A118" s="501">
        <v>1</v>
      </c>
      <c r="B118" s="597" t="s">
        <v>325</v>
      </c>
      <c r="C118" s="501">
        <v>3</v>
      </c>
      <c r="D118" s="504" t="s">
        <v>50</v>
      </c>
      <c r="E118" s="505">
        <v>15.09</v>
      </c>
      <c r="F118" s="982">
        <v>1</v>
      </c>
      <c r="G118" s="982">
        <v>1</v>
      </c>
      <c r="H118" s="597">
        <v>7635</v>
      </c>
      <c r="I118" s="1"/>
      <c r="J118" s="803"/>
      <c r="K118" s="803"/>
      <c r="M118" s="69"/>
      <c r="N118" s="42"/>
      <c r="O118" s="42"/>
      <c r="P118" s="42"/>
      <c r="Q118" s="42"/>
      <c r="R118" s="42"/>
      <c r="S118" s="42"/>
      <c r="T118" s="69"/>
      <c r="U118" s="42"/>
      <c r="V118" s="42"/>
      <c r="W118" s="42"/>
      <c r="X118" s="42"/>
      <c r="Y118" s="42"/>
      <c r="Z118" s="42"/>
      <c r="AA118" s="42"/>
      <c r="AB118" s="42"/>
    </row>
    <row r="119" spans="1:28" s="27" customFormat="1" x14ac:dyDescent="0.3">
      <c r="A119" s="501">
        <v>1</v>
      </c>
      <c r="B119" s="597" t="s">
        <v>325</v>
      </c>
      <c r="C119" s="501">
        <v>3</v>
      </c>
      <c r="D119" s="504" t="s">
        <v>917</v>
      </c>
      <c r="E119" s="505">
        <v>15.09</v>
      </c>
      <c r="F119" s="982">
        <v>1</v>
      </c>
      <c r="G119" s="982">
        <v>1</v>
      </c>
      <c r="H119" s="597">
        <v>7635</v>
      </c>
      <c r="I119" s="1"/>
      <c r="J119" s="803"/>
      <c r="K119" s="803"/>
      <c r="M119" s="69"/>
      <c r="N119" s="42"/>
      <c r="O119" s="42"/>
      <c r="P119" s="42"/>
      <c r="Q119" s="42"/>
      <c r="R119" s="42"/>
      <c r="S119" s="42"/>
      <c r="T119" s="69"/>
      <c r="U119" s="42"/>
      <c r="V119" s="42"/>
      <c r="W119" s="42"/>
      <c r="X119" s="42"/>
      <c r="Y119" s="42"/>
      <c r="Z119" s="42"/>
      <c r="AA119" s="42"/>
      <c r="AB119" s="42"/>
    </row>
    <row r="120" spans="1:28" s="27" customFormat="1" x14ac:dyDescent="0.3">
      <c r="A120" s="501">
        <v>1</v>
      </c>
      <c r="B120" s="597" t="s">
        <v>325</v>
      </c>
      <c r="C120" s="501">
        <v>3</v>
      </c>
      <c r="D120" s="504" t="s">
        <v>918</v>
      </c>
      <c r="E120" s="505">
        <v>15.41</v>
      </c>
      <c r="F120" s="982">
        <v>1</v>
      </c>
      <c r="G120" s="982">
        <v>2</v>
      </c>
      <c r="H120" s="597">
        <v>7635</v>
      </c>
      <c r="I120" s="1"/>
      <c r="J120" s="803"/>
      <c r="K120" s="803"/>
      <c r="M120" s="69"/>
      <c r="N120" s="42"/>
      <c r="O120" s="42"/>
      <c r="P120" s="42"/>
      <c r="Q120" s="42"/>
      <c r="R120" s="42"/>
      <c r="S120" s="42"/>
      <c r="T120" s="69"/>
      <c r="U120" s="42"/>
      <c r="V120" s="42"/>
      <c r="W120" s="42"/>
      <c r="X120" s="42"/>
      <c r="Y120" s="42"/>
      <c r="Z120" s="42"/>
      <c r="AA120" s="42"/>
      <c r="AB120" s="42"/>
    </row>
    <row r="121" spans="1:28" s="27" customFormat="1" x14ac:dyDescent="0.3">
      <c r="A121" s="501">
        <v>1</v>
      </c>
      <c r="B121" s="597" t="s">
        <v>325</v>
      </c>
      <c r="C121" s="501">
        <v>3</v>
      </c>
      <c r="D121" s="504" t="s">
        <v>919</v>
      </c>
      <c r="E121" s="505">
        <v>15.41</v>
      </c>
      <c r="F121" s="982">
        <v>1</v>
      </c>
      <c r="G121" s="982">
        <v>1</v>
      </c>
      <c r="H121" s="597">
        <v>7635</v>
      </c>
      <c r="I121" s="1"/>
      <c r="J121" s="803"/>
      <c r="K121" s="803"/>
      <c r="M121" s="69"/>
      <c r="N121" s="42"/>
      <c r="O121" s="42"/>
      <c r="P121" s="42"/>
      <c r="Q121" s="42"/>
      <c r="R121" s="42"/>
      <c r="S121" s="42"/>
      <c r="T121" s="69"/>
      <c r="U121" s="42"/>
      <c r="V121" s="42"/>
      <c r="W121" s="42"/>
      <c r="X121" s="42"/>
      <c r="Y121" s="42"/>
      <c r="Z121" s="42"/>
      <c r="AA121" s="42"/>
      <c r="AB121" s="42"/>
    </row>
    <row r="122" spans="1:28" s="27" customFormat="1" x14ac:dyDescent="0.3">
      <c r="A122" s="501">
        <v>1</v>
      </c>
      <c r="B122" s="597" t="s">
        <v>325</v>
      </c>
      <c r="C122" s="501">
        <v>3</v>
      </c>
      <c r="D122" s="504" t="s">
        <v>920</v>
      </c>
      <c r="E122" s="505">
        <v>15.41</v>
      </c>
      <c r="F122" s="982">
        <v>1</v>
      </c>
      <c r="G122" s="982">
        <v>1</v>
      </c>
      <c r="H122" s="597">
        <v>7635</v>
      </c>
      <c r="I122" s="1"/>
      <c r="J122" s="803"/>
      <c r="K122" s="803"/>
      <c r="M122" s="69"/>
      <c r="N122" s="42"/>
      <c r="O122" s="42"/>
      <c r="P122" s="42"/>
      <c r="Q122" s="42"/>
      <c r="R122" s="42"/>
      <c r="S122" s="42"/>
      <c r="T122" s="69"/>
      <c r="U122" s="42"/>
      <c r="V122" s="42"/>
      <c r="W122" s="42"/>
      <c r="X122" s="42"/>
      <c r="Y122" s="42"/>
      <c r="Z122" s="42"/>
      <c r="AA122" s="42"/>
      <c r="AB122" s="42"/>
    </row>
    <row r="123" spans="1:28" s="27" customFormat="1" x14ac:dyDescent="0.3">
      <c r="A123" s="501">
        <v>1</v>
      </c>
      <c r="B123" s="597" t="s">
        <v>325</v>
      </c>
      <c r="C123" s="501">
        <v>3</v>
      </c>
      <c r="D123" s="504" t="s">
        <v>921</v>
      </c>
      <c r="E123" s="505">
        <v>19.399999999999999</v>
      </c>
      <c r="F123" s="982">
        <v>1</v>
      </c>
      <c r="G123" s="982">
        <v>1</v>
      </c>
      <c r="H123" s="597">
        <v>7630</v>
      </c>
      <c r="I123" s="1"/>
      <c r="J123" s="803"/>
      <c r="K123" s="803"/>
      <c r="M123" s="69"/>
      <c r="N123" s="42"/>
      <c r="O123" s="42"/>
      <c r="P123" s="42"/>
      <c r="Q123" s="42"/>
      <c r="R123" s="42"/>
      <c r="S123" s="42"/>
      <c r="T123" s="69"/>
      <c r="U123" s="42"/>
      <c r="V123" s="42"/>
      <c r="W123" s="42"/>
      <c r="X123" s="42"/>
      <c r="Y123" s="42"/>
      <c r="Z123" s="42"/>
      <c r="AA123" s="42"/>
      <c r="AB123" s="42"/>
    </row>
    <row r="124" spans="1:28" s="27" customFormat="1" x14ac:dyDescent="0.3">
      <c r="A124" s="501">
        <v>1</v>
      </c>
      <c r="B124" s="597" t="s">
        <v>325</v>
      </c>
      <c r="C124" s="501">
        <v>3</v>
      </c>
      <c r="D124" s="504" t="s">
        <v>922</v>
      </c>
      <c r="E124" s="505">
        <v>45.41</v>
      </c>
      <c r="F124" s="982">
        <v>1</v>
      </c>
      <c r="G124" s="982">
        <v>1</v>
      </c>
      <c r="H124" s="597">
        <v>7630</v>
      </c>
      <c r="I124" s="1"/>
      <c r="J124" s="803"/>
      <c r="K124" s="803"/>
      <c r="M124" s="69"/>
      <c r="N124" s="42"/>
      <c r="O124" s="42"/>
      <c r="P124" s="42"/>
      <c r="Q124" s="42"/>
      <c r="R124" s="42"/>
      <c r="S124" s="42"/>
      <c r="T124" s="69"/>
      <c r="U124" s="42"/>
      <c r="V124" s="42"/>
      <c r="W124" s="42"/>
      <c r="X124" s="42"/>
      <c r="Y124" s="42"/>
      <c r="Z124" s="42"/>
      <c r="AA124" s="42"/>
      <c r="AB124" s="42"/>
    </row>
    <row r="125" spans="1:28" s="27" customFormat="1" x14ac:dyDescent="0.3">
      <c r="A125" s="501">
        <v>1</v>
      </c>
      <c r="B125" s="597" t="s">
        <v>325</v>
      </c>
      <c r="C125" s="501">
        <v>3</v>
      </c>
      <c r="D125" s="504" t="s">
        <v>923</v>
      </c>
      <c r="E125" s="505">
        <v>29.4</v>
      </c>
      <c r="F125" s="982">
        <v>1</v>
      </c>
      <c r="G125" s="982">
        <v>1</v>
      </c>
      <c r="H125" s="597">
        <v>7630</v>
      </c>
      <c r="I125" s="1"/>
      <c r="J125" s="775"/>
      <c r="K125" s="775"/>
      <c r="M125" s="69"/>
      <c r="N125" s="42"/>
      <c r="O125" s="42"/>
      <c r="P125" s="42"/>
      <c r="Q125" s="42"/>
      <c r="R125" s="42"/>
      <c r="S125" s="42"/>
      <c r="T125" s="69"/>
      <c r="U125" s="42"/>
      <c r="V125" s="42"/>
      <c r="W125" s="42"/>
      <c r="X125" s="42"/>
      <c r="Y125" s="42"/>
      <c r="Z125" s="42"/>
      <c r="AA125" s="42"/>
      <c r="AB125" s="42"/>
    </row>
    <row r="126" spans="1:28" s="27" customFormat="1" x14ac:dyDescent="0.3">
      <c r="A126" s="501">
        <v>1</v>
      </c>
      <c r="B126" s="597" t="s">
        <v>325</v>
      </c>
      <c r="C126" s="501">
        <v>3</v>
      </c>
      <c r="D126" s="504" t="s">
        <v>924</v>
      </c>
      <c r="E126" s="505">
        <v>45.8</v>
      </c>
      <c r="F126" s="982">
        <v>1</v>
      </c>
      <c r="G126" s="982">
        <v>1</v>
      </c>
      <c r="H126" s="597">
        <v>7640</v>
      </c>
      <c r="I126" s="1"/>
      <c r="J126" s="775"/>
      <c r="K126" s="775"/>
      <c r="M126" s="69"/>
      <c r="N126" s="42"/>
      <c r="O126" s="42"/>
      <c r="P126" s="42"/>
      <c r="Q126" s="42"/>
      <c r="R126" s="42"/>
      <c r="S126" s="42"/>
      <c r="T126" s="69"/>
      <c r="U126" s="42"/>
      <c r="V126" s="42"/>
      <c r="W126" s="42"/>
      <c r="X126" s="42"/>
      <c r="Y126" s="42"/>
      <c r="Z126" s="42"/>
      <c r="AA126" s="42"/>
      <c r="AB126" s="42"/>
    </row>
    <row r="127" spans="1:28" s="27" customFormat="1" x14ac:dyDescent="0.3">
      <c r="A127" s="501">
        <v>1</v>
      </c>
      <c r="B127" s="597" t="s">
        <v>325</v>
      </c>
      <c r="C127" s="501">
        <v>3</v>
      </c>
      <c r="D127" s="504" t="s">
        <v>925</v>
      </c>
      <c r="E127" s="505">
        <v>45.92</v>
      </c>
      <c r="F127" s="982">
        <v>1</v>
      </c>
      <c r="G127" s="982">
        <v>1</v>
      </c>
      <c r="H127" s="597">
        <v>7640</v>
      </c>
      <c r="I127" s="1"/>
      <c r="J127" s="775"/>
      <c r="K127" s="775"/>
      <c r="M127" s="69"/>
      <c r="N127" s="42"/>
      <c r="O127" s="42"/>
      <c r="P127" s="42"/>
      <c r="Q127" s="42"/>
      <c r="R127" s="42"/>
      <c r="S127" s="42"/>
      <c r="T127" s="69"/>
      <c r="U127" s="42"/>
      <c r="V127" s="42"/>
      <c r="W127" s="42"/>
      <c r="X127" s="42"/>
      <c r="Y127" s="42"/>
      <c r="Z127" s="42"/>
      <c r="AA127" s="42"/>
      <c r="AB127" s="42"/>
    </row>
    <row r="128" spans="1:28" s="27" customFormat="1" x14ac:dyDescent="0.3">
      <c r="A128" s="501">
        <v>1</v>
      </c>
      <c r="B128" s="597" t="s">
        <v>325</v>
      </c>
      <c r="C128" s="501">
        <v>3</v>
      </c>
      <c r="D128" s="504" t="s">
        <v>926</v>
      </c>
      <c r="E128" s="505">
        <v>30.45</v>
      </c>
      <c r="F128" s="982">
        <v>1</v>
      </c>
      <c r="G128" s="982">
        <v>1</v>
      </c>
      <c r="H128" s="597">
        <v>7630</v>
      </c>
      <c r="I128" s="1"/>
      <c r="J128" s="775"/>
      <c r="K128" s="775"/>
      <c r="M128" s="69"/>
      <c r="N128" s="42"/>
      <c r="O128" s="42"/>
      <c r="P128" s="42"/>
      <c r="Q128" s="42"/>
      <c r="R128" s="42"/>
      <c r="S128" s="42"/>
      <c r="T128" s="69"/>
      <c r="U128" s="42"/>
      <c r="V128" s="42"/>
      <c r="W128" s="42"/>
      <c r="X128" s="42"/>
      <c r="Y128" s="42"/>
      <c r="Z128" s="42"/>
      <c r="AA128" s="42"/>
      <c r="AB128" s="42"/>
    </row>
    <row r="129" spans="1:28" s="27" customFormat="1" x14ac:dyDescent="0.3">
      <c r="A129" s="501">
        <v>1</v>
      </c>
      <c r="B129" s="597" t="s">
        <v>325</v>
      </c>
      <c r="C129" s="501">
        <v>3</v>
      </c>
      <c r="D129" s="504" t="s">
        <v>927</v>
      </c>
      <c r="E129" s="505">
        <v>30.45</v>
      </c>
      <c r="F129" s="982">
        <v>1</v>
      </c>
      <c r="G129" s="982">
        <v>2</v>
      </c>
      <c r="H129" s="597">
        <v>7630</v>
      </c>
      <c r="I129" s="1"/>
      <c r="J129" s="775"/>
      <c r="K129" s="775"/>
      <c r="M129" s="69"/>
      <c r="N129" s="42"/>
      <c r="O129" s="42"/>
      <c r="P129" s="42"/>
      <c r="Q129" s="42"/>
      <c r="R129" s="42"/>
      <c r="S129" s="42"/>
      <c r="T129" s="69"/>
      <c r="U129" s="42"/>
      <c r="V129" s="42"/>
      <c r="W129" s="42"/>
      <c r="X129" s="42"/>
      <c r="Y129" s="42"/>
      <c r="Z129" s="42"/>
      <c r="AA129" s="42"/>
      <c r="AB129" s="42"/>
    </row>
    <row r="130" spans="1:28" s="27" customFormat="1" x14ac:dyDescent="0.3">
      <c r="A130" s="501">
        <v>1</v>
      </c>
      <c r="B130" s="597" t="s">
        <v>325</v>
      </c>
      <c r="C130" s="501">
        <v>3</v>
      </c>
      <c r="D130" s="504" t="s">
        <v>928</v>
      </c>
      <c r="E130" s="505">
        <v>30.45</v>
      </c>
      <c r="F130" s="982">
        <v>1</v>
      </c>
      <c r="G130" s="982">
        <v>1</v>
      </c>
      <c r="H130" s="597">
        <v>7630</v>
      </c>
      <c r="I130" s="1"/>
      <c r="J130" s="1"/>
      <c r="K130" s="1"/>
      <c r="L130" s="90"/>
      <c r="M130" s="93"/>
      <c r="N130" s="66"/>
      <c r="O130" s="38"/>
      <c r="P130" s="66"/>
      <c r="Q130" s="66"/>
      <c r="R130" s="38"/>
      <c r="S130" s="63"/>
      <c r="T130" s="118"/>
      <c r="U130" s="118"/>
      <c r="V130" s="42"/>
      <c r="W130" s="42"/>
      <c r="X130" s="42"/>
      <c r="Y130" s="42"/>
      <c r="Z130" s="42"/>
      <c r="AA130" s="42"/>
      <c r="AB130" s="42"/>
    </row>
    <row r="131" spans="1:28" s="27" customFormat="1" x14ac:dyDescent="0.3">
      <c r="A131" s="501">
        <v>1</v>
      </c>
      <c r="B131" s="597" t="s">
        <v>325</v>
      </c>
      <c r="C131" s="501">
        <v>3</v>
      </c>
      <c r="D131" s="504" t="s">
        <v>929</v>
      </c>
      <c r="E131" s="505">
        <v>21.71</v>
      </c>
      <c r="F131" s="982">
        <v>1</v>
      </c>
      <c r="G131" s="982">
        <v>1</v>
      </c>
      <c r="H131" s="597">
        <v>7630</v>
      </c>
      <c r="I131" s="1"/>
      <c r="J131" s="4"/>
      <c r="K131" s="4"/>
      <c r="M131" s="69"/>
      <c r="N131" s="42"/>
      <c r="O131" s="42"/>
      <c r="P131" s="42"/>
      <c r="Q131" s="42"/>
      <c r="R131" s="42"/>
      <c r="S131" s="42"/>
      <c r="T131" s="69"/>
      <c r="U131" s="42"/>
      <c r="V131" s="42"/>
      <c r="W131" s="42"/>
      <c r="X131" s="42"/>
      <c r="Y131" s="42"/>
      <c r="Z131" s="42"/>
      <c r="AA131" s="42"/>
      <c r="AB131" s="42"/>
    </row>
    <row r="132" spans="1:28" s="27" customFormat="1" x14ac:dyDescent="0.3">
      <c r="A132" s="501">
        <v>3</v>
      </c>
      <c r="B132" s="597" t="s">
        <v>517</v>
      </c>
      <c r="C132" s="501">
        <v>1</v>
      </c>
      <c r="D132" s="814" t="s">
        <v>518</v>
      </c>
      <c r="E132" s="503">
        <v>52.76</v>
      </c>
      <c r="F132" s="979">
        <v>1</v>
      </c>
      <c r="G132" s="979">
        <v>1</v>
      </c>
      <c r="H132" s="980">
        <v>7630</v>
      </c>
      <c r="I132" s="1"/>
      <c r="J132" s="4"/>
      <c r="K132" s="4"/>
      <c r="M132" s="69"/>
      <c r="N132" s="42"/>
      <c r="O132" s="42"/>
      <c r="P132" s="42"/>
      <c r="Q132" s="42"/>
      <c r="R132" s="42"/>
      <c r="S132" s="42"/>
      <c r="T132" s="69"/>
      <c r="U132" s="42"/>
      <c r="V132" s="42"/>
      <c r="W132" s="42"/>
      <c r="X132" s="42"/>
      <c r="Y132" s="42"/>
      <c r="Z132" s="42"/>
      <c r="AA132" s="42"/>
      <c r="AB132" s="42"/>
    </row>
    <row r="133" spans="1:28" s="27" customFormat="1" x14ac:dyDescent="0.3">
      <c r="A133" s="501">
        <v>3</v>
      </c>
      <c r="B133" s="597" t="s">
        <v>517</v>
      </c>
      <c r="C133" s="501">
        <v>3</v>
      </c>
      <c r="D133" s="986" t="s">
        <v>518</v>
      </c>
      <c r="E133" s="503">
        <v>9.17</v>
      </c>
      <c r="F133" s="982">
        <v>1</v>
      </c>
      <c r="G133" s="979">
        <v>2</v>
      </c>
      <c r="H133" s="980">
        <v>7635</v>
      </c>
      <c r="I133" s="1"/>
      <c r="J133" s="4"/>
      <c r="K133" s="4"/>
      <c r="M133" s="69"/>
      <c r="N133" s="42"/>
      <c r="O133" s="42"/>
      <c r="P133" s="42"/>
      <c r="Q133" s="42"/>
      <c r="R133" s="42"/>
      <c r="S133" s="42"/>
      <c r="T133" s="69"/>
      <c r="U133" s="42"/>
      <c r="V133" s="42"/>
      <c r="W133" s="42"/>
      <c r="X133" s="42"/>
      <c r="Y133" s="42"/>
      <c r="Z133" s="42"/>
      <c r="AA133" s="42"/>
      <c r="AB133" s="42"/>
    </row>
    <row r="134" spans="1:28" s="27" customFormat="1" x14ac:dyDescent="0.3">
      <c r="A134" s="501">
        <v>3</v>
      </c>
      <c r="B134" s="597" t="s">
        <v>517</v>
      </c>
      <c r="C134" s="501">
        <v>3</v>
      </c>
      <c r="D134" s="986" t="s">
        <v>518</v>
      </c>
      <c r="E134" s="503">
        <v>80.14</v>
      </c>
      <c r="F134" s="982">
        <v>1</v>
      </c>
      <c r="G134" s="979">
        <v>2</v>
      </c>
      <c r="H134" s="980">
        <v>7635</v>
      </c>
      <c r="I134" s="1"/>
      <c r="J134" s="4"/>
      <c r="K134" s="4"/>
      <c r="M134" s="69"/>
      <c r="N134" s="42"/>
      <c r="O134" s="42"/>
      <c r="P134" s="42"/>
      <c r="Q134" s="42"/>
      <c r="R134" s="42"/>
      <c r="S134" s="42"/>
      <c r="T134" s="69"/>
      <c r="U134" s="42"/>
      <c r="V134" s="42"/>
      <c r="W134" s="42"/>
      <c r="X134" s="42"/>
      <c r="Y134" s="42"/>
      <c r="Z134" s="42"/>
      <c r="AA134" s="42"/>
      <c r="AB134" s="42"/>
    </row>
    <row r="135" spans="1:28" s="27" customFormat="1" x14ac:dyDescent="0.3">
      <c r="A135" s="501">
        <v>3</v>
      </c>
      <c r="B135" s="597" t="s">
        <v>517</v>
      </c>
      <c r="C135" s="501">
        <v>3</v>
      </c>
      <c r="D135" s="986" t="s">
        <v>845</v>
      </c>
      <c r="E135" s="503">
        <v>38.85</v>
      </c>
      <c r="F135" s="982">
        <v>1</v>
      </c>
      <c r="G135" s="979">
        <v>2</v>
      </c>
      <c r="H135" s="980">
        <v>7635</v>
      </c>
      <c r="I135" s="1"/>
      <c r="J135" s="4"/>
      <c r="K135" s="4"/>
      <c r="M135" s="69"/>
      <c r="N135" s="42"/>
      <c r="O135" s="42"/>
      <c r="P135" s="42"/>
      <c r="Q135" s="42"/>
      <c r="R135" s="42"/>
      <c r="S135" s="42"/>
      <c r="T135" s="69"/>
      <c r="U135" s="42"/>
      <c r="V135" s="42"/>
      <c r="W135" s="42"/>
      <c r="X135" s="42"/>
      <c r="Y135" s="42"/>
      <c r="Z135" s="42"/>
      <c r="AA135" s="42"/>
      <c r="AB135" s="42"/>
    </row>
    <row r="136" spans="1:28" s="27" customFormat="1" x14ac:dyDescent="0.3">
      <c r="A136" s="501">
        <v>3</v>
      </c>
      <c r="B136" s="597" t="s">
        <v>517</v>
      </c>
      <c r="C136" s="501">
        <v>3</v>
      </c>
      <c r="D136" s="814" t="s">
        <v>846</v>
      </c>
      <c r="E136" s="503">
        <v>19.39</v>
      </c>
      <c r="F136" s="979">
        <v>1</v>
      </c>
      <c r="G136" s="979">
        <v>2</v>
      </c>
      <c r="H136" s="980">
        <v>7630</v>
      </c>
      <c r="I136" s="1"/>
      <c r="J136" s="4"/>
      <c r="K136" s="4"/>
      <c r="M136" s="69"/>
      <c r="N136" s="42"/>
      <c r="O136" s="42"/>
      <c r="P136" s="42"/>
      <c r="Q136" s="42"/>
      <c r="R136" s="42"/>
      <c r="S136" s="42"/>
      <c r="T136" s="69"/>
      <c r="U136" s="42"/>
      <c r="V136" s="42"/>
      <c r="W136" s="42"/>
      <c r="X136" s="42"/>
      <c r="Y136" s="42"/>
      <c r="Z136" s="42"/>
      <c r="AA136" s="42"/>
      <c r="AB136" s="42"/>
    </row>
    <row r="137" spans="1:28" s="27" customFormat="1" ht="16.2" thickBot="1" x14ac:dyDescent="0.35">
      <c r="A137" s="501">
        <v>3</v>
      </c>
      <c r="B137" s="597" t="s">
        <v>519</v>
      </c>
      <c r="C137" s="501">
        <v>1</v>
      </c>
      <c r="D137" s="814" t="s">
        <v>520</v>
      </c>
      <c r="E137" s="503">
        <v>18</v>
      </c>
      <c r="F137" s="979">
        <v>1</v>
      </c>
      <c r="G137" s="979">
        <v>2</v>
      </c>
      <c r="H137" s="597">
        <v>7635</v>
      </c>
      <c r="I137" s="1"/>
      <c r="J137" s="4"/>
      <c r="K137" s="4"/>
      <c r="M137" s="69"/>
      <c r="N137" s="42"/>
      <c r="O137" s="42"/>
      <c r="P137" s="42"/>
      <c r="Q137" s="42"/>
      <c r="R137" s="42"/>
      <c r="S137" s="42"/>
      <c r="T137" s="69"/>
      <c r="U137" s="42"/>
      <c r="V137" s="42"/>
      <c r="W137" s="42"/>
      <c r="X137" s="42"/>
      <c r="Y137" s="42"/>
      <c r="Z137" s="42"/>
      <c r="AA137" s="42"/>
      <c r="AB137" s="42"/>
    </row>
    <row r="138" spans="1:28" s="4" customFormat="1" ht="16.2" thickBot="1" x14ac:dyDescent="0.35">
      <c r="A138" s="1"/>
      <c r="B138" s="1"/>
      <c r="C138" s="1"/>
      <c r="D138" s="1"/>
      <c r="E138" s="34">
        <f>SUM(E2:E137)</f>
        <v>3861.6999999999975</v>
      </c>
      <c r="F138" s="54" t="s">
        <v>54</v>
      </c>
      <c r="G138" s="1"/>
      <c r="H138" s="53"/>
      <c r="I138" s="3"/>
      <c r="J138" s="1"/>
      <c r="K138" s="42"/>
      <c r="L138" s="47"/>
      <c r="M138" s="463"/>
      <c r="N138" s="42"/>
      <c r="O138" s="462"/>
      <c r="P138" s="462"/>
      <c r="Q138" s="462"/>
      <c r="R138" s="42"/>
      <c r="S138" s="42"/>
      <c r="T138" s="42"/>
      <c r="U138" s="42"/>
      <c r="V138" s="1"/>
      <c r="W138" s="1"/>
    </row>
    <row r="139" spans="1:28" x14ac:dyDescent="0.3">
      <c r="A139" s="2"/>
      <c r="B139" s="2"/>
      <c r="C139" s="2"/>
      <c r="E139" s="778"/>
      <c r="F139" s="4"/>
      <c r="H139" s="53"/>
      <c r="J139" s="1"/>
      <c r="K139" s="42"/>
      <c r="L139" s="42"/>
      <c r="M139" s="148"/>
      <c r="N139" s="42"/>
      <c r="O139" s="465"/>
      <c r="P139" s="465"/>
      <c r="Q139" s="465"/>
      <c r="R139" s="42"/>
      <c r="S139" s="42"/>
      <c r="T139" s="42"/>
      <c r="U139" s="42"/>
    </row>
    <row r="140" spans="1:28" x14ac:dyDescent="0.3">
      <c r="C140" s="1" t="s">
        <v>930</v>
      </c>
      <c r="K140" s="466"/>
      <c r="L140" s="42"/>
      <c r="M140" s="93"/>
      <c r="N140" s="47"/>
      <c r="O140" s="47"/>
      <c r="P140" s="47"/>
      <c r="Q140" s="47"/>
      <c r="R140" s="47"/>
      <c r="S140" s="467"/>
      <c r="T140" s="467"/>
      <c r="U140" s="47"/>
      <c r="V140" s="4"/>
      <c r="W140" s="4"/>
    </row>
    <row r="141" spans="1:28" x14ac:dyDescent="0.3">
      <c r="A141" s="17" t="s">
        <v>847</v>
      </c>
      <c r="B141" s="17"/>
      <c r="C141" s="921"/>
      <c r="D141" s="17"/>
      <c r="K141" s="42"/>
      <c r="L141" s="42"/>
      <c r="M141" s="42"/>
      <c r="N141" s="42"/>
      <c r="O141" s="42"/>
      <c r="P141" s="42"/>
      <c r="Q141" s="468"/>
      <c r="R141" s="42"/>
      <c r="S141" s="469"/>
      <c r="T141" s="469"/>
      <c r="U141" s="42"/>
    </row>
    <row r="142" spans="1:28" x14ac:dyDescent="0.3">
      <c r="B142" s="53"/>
      <c r="C142" s="69"/>
      <c r="D142" s="459"/>
      <c r="E142" s="53"/>
      <c r="K142" s="42"/>
      <c r="L142" s="470"/>
      <c r="M142" s="69"/>
      <c r="N142" s="42"/>
      <c r="O142" s="42"/>
      <c r="P142" s="42"/>
      <c r="Q142" s="42"/>
      <c r="R142" s="42"/>
      <c r="S142" s="469"/>
      <c r="T142" s="469"/>
      <c r="U142" s="42"/>
    </row>
    <row r="143" spans="1:28" ht="31.2" x14ac:dyDescent="0.3">
      <c r="C143" s="90"/>
      <c r="D143" s="399" t="s">
        <v>264</v>
      </c>
      <c r="E143" s="598" t="s">
        <v>326</v>
      </c>
      <c r="F143" s="423" t="s">
        <v>283</v>
      </c>
      <c r="G143" s="471" t="s">
        <v>282</v>
      </c>
      <c r="H143" s="401" t="s">
        <v>265</v>
      </c>
      <c r="I143" s="38"/>
      <c r="J143" s="63"/>
      <c r="K143" s="118"/>
      <c r="L143" s="118"/>
      <c r="M143" s="69"/>
      <c r="N143" s="42"/>
      <c r="O143" s="42"/>
      <c r="P143" s="42"/>
      <c r="Q143" s="42"/>
      <c r="R143" s="42"/>
      <c r="S143" s="42"/>
      <c r="T143" s="42"/>
      <c r="U143" s="42"/>
    </row>
    <row r="144" spans="1:28" x14ac:dyDescent="0.3">
      <c r="A144" s="4"/>
      <c r="B144" s="12"/>
      <c r="C144" s="823">
        <v>7620</v>
      </c>
      <c r="D144" s="400">
        <f>SUM(E144:G144)</f>
        <v>239.19</v>
      </c>
      <c r="E144" s="719">
        <v>99.25</v>
      </c>
      <c r="F144" s="719">
        <v>139.94</v>
      </c>
      <c r="G144" s="719">
        <v>0</v>
      </c>
      <c r="H144" s="402" t="s">
        <v>266</v>
      </c>
      <c r="I144" s="38"/>
      <c r="J144" s="63"/>
      <c r="K144" s="118"/>
      <c r="L144" s="118"/>
      <c r="M144" s="42"/>
      <c r="N144" s="42"/>
      <c r="O144" s="42"/>
      <c r="P144" s="42"/>
      <c r="Q144" s="42"/>
      <c r="R144" s="42"/>
      <c r="S144" s="42"/>
      <c r="T144" s="42"/>
      <c r="U144" s="42"/>
    </row>
    <row r="145" spans="1:21" x14ac:dyDescent="0.3">
      <c r="B145" s="12"/>
      <c r="C145" s="823">
        <v>7625</v>
      </c>
      <c r="D145" s="400">
        <f t="shared" ref="D145:D151" si="0">SUM(E145:G145)</f>
        <v>332.43</v>
      </c>
      <c r="E145" s="720">
        <v>273.88</v>
      </c>
      <c r="F145" s="720">
        <v>27.7</v>
      </c>
      <c r="G145" s="720">
        <v>30.85</v>
      </c>
      <c r="H145" s="402" t="s">
        <v>267</v>
      </c>
      <c r="I145" s="42"/>
      <c r="J145" s="42"/>
      <c r="K145" s="69"/>
      <c r="L145" s="42"/>
      <c r="M145" s="464"/>
      <c r="N145" s="42"/>
      <c r="O145" s="42"/>
      <c r="P145" s="42"/>
      <c r="Q145" s="42"/>
      <c r="R145" s="42"/>
      <c r="S145" s="42"/>
      <c r="T145" s="42"/>
      <c r="U145" s="42"/>
    </row>
    <row r="146" spans="1:21" x14ac:dyDescent="0.3">
      <c r="B146" s="12"/>
      <c r="C146" s="823">
        <v>7630</v>
      </c>
      <c r="D146" s="400">
        <f t="shared" si="0"/>
        <v>1166.5600000000002</v>
      </c>
      <c r="E146" s="720">
        <v>133.05000000000001</v>
      </c>
      <c r="F146" s="720">
        <v>1014.12</v>
      </c>
      <c r="G146" s="720">
        <v>19.39</v>
      </c>
      <c r="H146" s="462"/>
      <c r="I146" s="38"/>
      <c r="J146" s="63"/>
      <c r="K146" s="118"/>
      <c r="L146" s="118"/>
      <c r="M146" s="69"/>
      <c r="N146" s="42"/>
      <c r="O146" s="42"/>
      <c r="P146" s="42"/>
      <c r="Q146" s="42"/>
      <c r="R146" s="42"/>
      <c r="S146" s="42"/>
      <c r="T146" s="42"/>
      <c r="U146" s="42"/>
    </row>
    <row r="147" spans="1:21" x14ac:dyDescent="0.3">
      <c r="A147" s="65"/>
      <c r="B147" s="12"/>
      <c r="C147" s="823">
        <v>7635</v>
      </c>
      <c r="D147" s="400">
        <f t="shared" si="0"/>
        <v>1025.18</v>
      </c>
      <c r="E147" s="720">
        <v>788.46</v>
      </c>
      <c r="F147" s="720">
        <v>128.16</v>
      </c>
      <c r="G147" s="720">
        <v>108.56</v>
      </c>
      <c r="H147" s="462"/>
      <c r="I147" s="38"/>
      <c r="J147" s="464"/>
      <c r="K147" s="118"/>
      <c r="L147" s="118"/>
      <c r="M147" s="42"/>
      <c r="N147" s="42"/>
      <c r="O147" s="42"/>
      <c r="P147" s="42"/>
      <c r="Q147" s="42"/>
      <c r="R147" s="42"/>
      <c r="S147" s="42"/>
      <c r="T147" s="42"/>
      <c r="U147" s="42"/>
    </row>
    <row r="148" spans="1:21" x14ac:dyDescent="0.3">
      <c r="B148" s="12"/>
      <c r="C148" s="823">
        <v>7640</v>
      </c>
      <c r="D148" s="400">
        <f t="shared" si="0"/>
        <v>499.59000000000003</v>
      </c>
      <c r="E148" s="720">
        <v>60.85</v>
      </c>
      <c r="F148" s="720">
        <v>438.74</v>
      </c>
      <c r="G148" s="720">
        <v>0</v>
      </c>
      <c r="H148" s="462"/>
      <c r="I148" s="1"/>
      <c r="J148" s="1"/>
    </row>
    <row r="149" spans="1:21" x14ac:dyDescent="0.3">
      <c r="B149" s="12"/>
      <c r="C149" s="39">
        <v>7645</v>
      </c>
      <c r="D149" s="400">
        <f t="shared" si="0"/>
        <v>412.34999999999997</v>
      </c>
      <c r="E149" s="720">
        <v>359.79</v>
      </c>
      <c r="F149" s="720">
        <v>23.47</v>
      </c>
      <c r="G149" s="720">
        <v>29.09</v>
      </c>
      <c r="H149" s="462"/>
      <c r="I149" s="1"/>
      <c r="J149" s="1"/>
    </row>
    <row r="150" spans="1:21" x14ac:dyDescent="0.3">
      <c r="C150" s="39">
        <v>7817</v>
      </c>
      <c r="D150" s="400">
        <f t="shared" si="0"/>
        <v>151.78</v>
      </c>
      <c r="E150" s="720">
        <v>75.58</v>
      </c>
      <c r="F150" s="720">
        <v>0</v>
      </c>
      <c r="G150" s="720">
        <v>76.2</v>
      </c>
      <c r="H150" s="462"/>
      <c r="I150" s="1"/>
      <c r="J150" s="1"/>
    </row>
    <row r="151" spans="1:21" x14ac:dyDescent="0.3">
      <c r="C151" s="39">
        <v>7117</v>
      </c>
      <c r="D151" s="400">
        <f t="shared" si="0"/>
        <v>34.619999999999997</v>
      </c>
      <c r="E151" s="720">
        <v>34.619999999999997</v>
      </c>
      <c r="F151" s="720">
        <v>0</v>
      </c>
      <c r="G151" s="720">
        <v>0</v>
      </c>
      <c r="H151" s="462"/>
      <c r="I151" s="1"/>
      <c r="J151" s="1"/>
    </row>
    <row r="152" spans="1:21" x14ac:dyDescent="0.3">
      <c r="D152" s="33">
        <f>SUM(D144:D151)</f>
        <v>3861.7000000000007</v>
      </c>
      <c r="E152" s="404">
        <f>SUM(E144:E151)</f>
        <v>1825.4799999999998</v>
      </c>
      <c r="F152" s="404">
        <f>SUM(F144:F151)</f>
        <v>1772.13</v>
      </c>
      <c r="G152" s="404">
        <f>SUM(G144:G151)</f>
        <v>264.09000000000003</v>
      </c>
      <c r="H152" s="404"/>
      <c r="I152" s="1"/>
      <c r="J152" s="1"/>
    </row>
    <row r="153" spans="1:21" x14ac:dyDescent="0.3">
      <c r="A153" s="26"/>
      <c r="B153" s="965">
        <v>3861.7</v>
      </c>
      <c r="C153" s="40" t="s">
        <v>931</v>
      </c>
      <c r="D153" s="67">
        <f>D152-E138</f>
        <v>0</v>
      </c>
      <c r="E153" s="4"/>
      <c r="F153" s="4"/>
      <c r="G153" s="965">
        <f>SUM(E152:G152)</f>
        <v>3861.7</v>
      </c>
      <c r="H153" s="4"/>
      <c r="I153" s="4"/>
      <c r="J153" s="401"/>
      <c r="K153" s="401"/>
      <c r="L153" s="4"/>
    </row>
    <row r="154" spans="1:21" x14ac:dyDescent="0.3">
      <c r="A154" s="3"/>
      <c r="H154" s="403"/>
      <c r="I154" s="1"/>
      <c r="J154" s="402"/>
      <c r="K154" s="402"/>
    </row>
    <row r="155" spans="1:21" x14ac:dyDescent="0.3">
      <c r="A155" s="3"/>
      <c r="C155" s="54" t="s">
        <v>3</v>
      </c>
      <c r="D155" s="32">
        <f>D144+D145</f>
        <v>571.62</v>
      </c>
      <c r="I155" s="1"/>
      <c r="J155" s="402"/>
      <c r="K155" s="691"/>
    </row>
    <row r="156" spans="1:21" x14ac:dyDescent="0.3">
      <c r="A156" s="3"/>
      <c r="C156" s="54" t="s">
        <v>2</v>
      </c>
      <c r="D156" s="32">
        <f>D146+D147</f>
        <v>2191.7400000000002</v>
      </c>
      <c r="I156" s="1"/>
      <c r="J156" s="1"/>
      <c r="K156" s="691"/>
    </row>
    <row r="157" spans="1:21" x14ac:dyDescent="0.3">
      <c r="A157" s="3"/>
      <c r="B157" s="4"/>
      <c r="C157" s="54" t="s">
        <v>1</v>
      </c>
      <c r="D157" s="1">
        <f>D148+D149</f>
        <v>911.94</v>
      </c>
      <c r="I157" s="1"/>
      <c r="J157" s="1"/>
      <c r="K157" s="691"/>
    </row>
    <row r="158" spans="1:21" ht="16.2" thickBot="1" x14ac:dyDescent="0.35">
      <c r="A158" s="3"/>
      <c r="C158" s="54" t="s">
        <v>91</v>
      </c>
      <c r="D158" s="405">
        <f>D150+D151</f>
        <v>186.4</v>
      </c>
      <c r="I158" s="1"/>
      <c r="J158" s="1"/>
      <c r="K158" s="691"/>
    </row>
    <row r="159" spans="1:21" ht="16.2" thickTop="1" x14ac:dyDescent="0.3">
      <c r="A159" s="3"/>
      <c r="D159" s="32">
        <f>SUM(D155:D158)</f>
        <v>3861.7000000000003</v>
      </c>
      <c r="I159" s="1"/>
      <c r="J159" s="1"/>
      <c r="K159" s="691"/>
    </row>
    <row r="160" spans="1:21" x14ac:dyDescent="0.3">
      <c r="A160" s="3"/>
      <c r="I160" s="1"/>
      <c r="J160" s="1"/>
    </row>
    <row r="161" spans="1:10" x14ac:dyDescent="0.3">
      <c r="A161" s="3"/>
      <c r="I161" s="1"/>
      <c r="J161" s="1"/>
    </row>
  </sheetData>
  <autoFilter ref="A1:IF138" xr:uid="{00000000-0009-0000-0000-000009000000}"/>
  <phoneticPr fontId="0" type="noConversion"/>
  <printOptions gridLines="1"/>
  <pageMargins left="0" right="0" top="0.59055118110236227" bottom="0" header="0.19685039370078741" footer="0"/>
  <pageSetup paperSize="9" scale="90" fitToHeight="4" orientation="landscape" r:id="rId1"/>
  <headerFooter alignWithMargins="0">
    <oddHeader>&amp;L&amp;Z&amp;F&amp;RList: &amp;A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0"/>
  <sheetViews>
    <sheetView workbookViewId="0">
      <selection activeCell="C22" sqref="C22"/>
    </sheetView>
  </sheetViews>
  <sheetFormatPr defaultColWidth="9.109375" defaultRowHeight="18" x14ac:dyDescent="0.35"/>
  <cols>
    <col min="1" max="1" width="9.109375" style="9"/>
    <col min="2" max="2" width="18.109375" style="9" customWidth="1"/>
    <col min="3" max="3" width="17" style="9" customWidth="1"/>
    <col min="4" max="4" width="20.88671875" style="9" customWidth="1"/>
    <col min="5" max="5" width="23.33203125" style="9" customWidth="1"/>
    <col min="6" max="8" width="9.109375" style="9"/>
    <col min="9" max="9" width="15.6640625" style="9" customWidth="1"/>
    <col min="10" max="16384" width="9.109375" style="9"/>
  </cols>
  <sheetData>
    <row r="1" spans="1:15" s="1" customFormat="1" x14ac:dyDescent="0.35">
      <c r="A1" s="83" t="s">
        <v>202</v>
      </c>
      <c r="B1" s="762"/>
      <c r="C1" s="68"/>
      <c r="D1" s="68"/>
      <c r="E1" s="762"/>
      <c r="F1" s="27"/>
    </row>
    <row r="2" spans="1:15" s="1" customFormat="1" ht="17.399999999999999" x14ac:dyDescent="0.3">
      <c r="A2" s="8"/>
      <c r="B2" s="32"/>
      <c r="C2" s="233"/>
      <c r="D2" s="233"/>
      <c r="E2" s="32"/>
    </row>
    <row r="3" spans="1:15" s="1" customFormat="1" ht="31.2" x14ac:dyDescent="0.3">
      <c r="B3" s="234"/>
      <c r="C3" s="235" t="s">
        <v>103</v>
      </c>
      <c r="D3" s="16"/>
      <c r="E3" s="27"/>
    </row>
    <row r="4" spans="1:15" s="1" customFormat="1" ht="15.6" x14ac:dyDescent="0.3">
      <c r="B4" s="236" t="s">
        <v>92</v>
      </c>
      <c r="C4" s="246">
        <v>3861.7</v>
      </c>
      <c r="D4" s="458" t="s">
        <v>281</v>
      </c>
      <c r="G4" s="40"/>
      <c r="H4" s="40"/>
    </row>
    <row r="5" spans="1:15" s="1" customFormat="1" ht="15.6" x14ac:dyDescent="0.3">
      <c r="B5" s="236" t="s">
        <v>9</v>
      </c>
      <c r="C5" s="237">
        <f>$C$4*E18</f>
        <v>186.40000000000012</v>
      </c>
      <c r="D5" s="358">
        <f>CEILING(C18,1)-1</f>
        <v>23000</v>
      </c>
      <c r="G5" s="40"/>
      <c r="H5" s="40"/>
      <c r="O5" s="40"/>
    </row>
    <row r="6" spans="1:15" s="1" customFormat="1" ht="15.6" x14ac:dyDescent="0.3">
      <c r="B6" s="236" t="s">
        <v>3</v>
      </c>
      <c r="C6" s="237">
        <f>$C$4*E19</f>
        <v>571.62000000000035</v>
      </c>
      <c r="D6" s="358">
        <f>CEILING(C19,1)</f>
        <v>70534</v>
      </c>
      <c r="O6" s="40"/>
    </row>
    <row r="7" spans="1:15" s="1" customFormat="1" ht="15.6" x14ac:dyDescent="0.3">
      <c r="B7" s="236" t="s">
        <v>2</v>
      </c>
      <c r="C7" s="237">
        <f>$C$4*E20</f>
        <v>2191.7400000000016</v>
      </c>
      <c r="D7" s="358">
        <f>CEILING(C20,1)</f>
        <v>270445</v>
      </c>
      <c r="O7" s="40"/>
    </row>
    <row r="8" spans="1:15" s="1" customFormat="1" ht="15.6" x14ac:dyDescent="0.3">
      <c r="B8" s="236" t="s">
        <v>1</v>
      </c>
      <c r="C8" s="237">
        <f>$C$4*E21</f>
        <v>911.94000000000051</v>
      </c>
      <c r="D8" s="358">
        <f>CEILING(C21,1)</f>
        <v>112527</v>
      </c>
      <c r="O8" s="40"/>
    </row>
    <row r="9" spans="1:15" s="1" customFormat="1" ht="15.6" x14ac:dyDescent="0.3">
      <c r="B9" s="238" t="s">
        <v>7</v>
      </c>
      <c r="C9" s="239">
        <f>C5+C6+C7+C8</f>
        <v>3861.7000000000025</v>
      </c>
      <c r="D9" s="239">
        <f>SUM(D5:D8)</f>
        <v>476506</v>
      </c>
    </row>
    <row r="10" spans="1:15" s="1" customFormat="1" ht="15.6" x14ac:dyDescent="0.3">
      <c r="B10" s="27"/>
      <c r="C10" s="967">
        <f>D22</f>
        <v>3861.7000000000003</v>
      </c>
      <c r="D10" s="1" t="s">
        <v>129</v>
      </c>
    </row>
    <row r="11" spans="1:15" s="1" customFormat="1" ht="15.6" x14ac:dyDescent="0.3">
      <c r="I11" s="240"/>
    </row>
    <row r="12" spans="1:15" s="1" customFormat="1" ht="15.6" x14ac:dyDescent="0.3">
      <c r="B12" s="2" t="s">
        <v>933</v>
      </c>
    </row>
    <row r="13" spans="1:15" s="1" customFormat="1" ht="15.6" x14ac:dyDescent="0.3"/>
    <row r="14" spans="1:15" s="1" customFormat="1" ht="15.6" x14ac:dyDescent="0.3">
      <c r="A14" s="1" t="s">
        <v>268</v>
      </c>
    </row>
    <row r="15" spans="1:15" s="1" customFormat="1" ht="16.2" thickBot="1" x14ac:dyDescent="0.35"/>
    <row r="16" spans="1:15" s="1" customFormat="1" ht="34.5" customHeight="1" thickBot="1" x14ac:dyDescent="0.35">
      <c r="B16" s="419">
        <v>2024</v>
      </c>
      <c r="C16" s="406" t="s">
        <v>103</v>
      </c>
      <c r="D16" s="407" t="s">
        <v>269</v>
      </c>
      <c r="E16" s="408" t="s">
        <v>270</v>
      </c>
    </row>
    <row r="17" spans="2:5" s="1" customFormat="1" ht="16.8" thickBot="1" x14ac:dyDescent="0.4">
      <c r="B17" s="968" t="s">
        <v>102</v>
      </c>
      <c r="C17" s="969">
        <f>'0_PRIDEL'!H26</f>
        <v>476505.6791008719</v>
      </c>
      <c r="D17" s="969">
        <f>'0_PRIDEL'!H25</f>
        <v>3861.6999999999975</v>
      </c>
      <c r="E17" s="970">
        <v>1</v>
      </c>
    </row>
    <row r="18" spans="2:5" s="1" customFormat="1" ht="16.2" thickTop="1" x14ac:dyDescent="0.3">
      <c r="B18" s="411" t="s">
        <v>9</v>
      </c>
      <c r="C18" s="420">
        <f>E18*$C$17</f>
        <v>23000.403600591082</v>
      </c>
      <c r="D18" s="412">
        <f>'7_Plochy pracovišť'!D158</f>
        <v>186.4</v>
      </c>
      <c r="E18" s="413">
        <f>D18/$D$17</f>
        <v>4.8268897117849686E-2</v>
      </c>
    </row>
    <row r="19" spans="2:5" s="1" customFormat="1" ht="15.6" x14ac:dyDescent="0.3">
      <c r="B19" s="414" t="s">
        <v>3</v>
      </c>
      <c r="C19" s="421">
        <f>E19*$C$17</f>
        <v>70533.748423658122</v>
      </c>
      <c r="D19" s="409">
        <f>'7_Plochy pracovišť'!D155</f>
        <v>571.62</v>
      </c>
      <c r="E19" s="415">
        <f>D19/$D$17</f>
        <v>0.14802289147266756</v>
      </c>
    </row>
    <row r="20" spans="2:5" s="1" customFormat="1" ht="15.6" x14ac:dyDescent="0.3">
      <c r="B20" s="414" t="s">
        <v>2</v>
      </c>
      <c r="C20" s="421">
        <f>E20*$C$17</f>
        <v>270444.7671006411</v>
      </c>
      <c r="D20" s="409">
        <f>'7_Plochy pracovišť'!D156</f>
        <v>2191.7400000000002</v>
      </c>
      <c r="E20" s="415">
        <f>D20/$D$17</f>
        <v>0.56755832923323968</v>
      </c>
    </row>
    <row r="21" spans="2:5" s="1" customFormat="1" ht="16.2" thickBot="1" x14ac:dyDescent="0.35">
      <c r="B21" s="416" t="s">
        <v>1</v>
      </c>
      <c r="C21" s="422">
        <f>E21*$C$17</f>
        <v>112526.75997598193</v>
      </c>
      <c r="D21" s="417">
        <f>'7_Plochy pracovišť'!D157</f>
        <v>911.94</v>
      </c>
      <c r="E21" s="418">
        <f>D21/$D$17</f>
        <v>0.23614988217624377</v>
      </c>
    </row>
    <row r="22" spans="2:5" s="1" customFormat="1" ht="16.2" thickTop="1" x14ac:dyDescent="0.3">
      <c r="B22" s="42" t="s">
        <v>7</v>
      </c>
      <c r="C22" s="404">
        <f>SUM(C18:C21)</f>
        <v>476505.67910087225</v>
      </c>
      <c r="D22" s="404">
        <f>SUM(D18:D21)</f>
        <v>3861.7000000000003</v>
      </c>
      <c r="E22" s="410">
        <f>SUM(E18:E21)</f>
        <v>1.0000000000000007</v>
      </c>
    </row>
    <row r="23" spans="2:5" s="1" customFormat="1" ht="15.6" x14ac:dyDescent="0.3"/>
    <row r="24" spans="2:5" s="1" customFormat="1" ht="15.6" x14ac:dyDescent="0.3">
      <c r="C24" s="1" t="s">
        <v>932</v>
      </c>
      <c r="D24" s="247">
        <f>D17-D22</f>
        <v>0</v>
      </c>
    </row>
    <row r="25" spans="2:5" s="1" customFormat="1" ht="15.6" x14ac:dyDescent="0.3"/>
    <row r="26" spans="2:5" s="1" customFormat="1" ht="15.6" x14ac:dyDescent="0.3"/>
    <row r="27" spans="2:5" s="1" customFormat="1" ht="15.6" x14ac:dyDescent="0.3"/>
    <row r="28" spans="2:5" s="1" customFormat="1" ht="15.6" x14ac:dyDescent="0.3"/>
    <row r="29" spans="2:5" s="1" customFormat="1" ht="15.6" x14ac:dyDescent="0.3"/>
    <row r="30" spans="2:5" s="1" customFormat="1" ht="15.6" x14ac:dyDescent="0.3"/>
    <row r="31" spans="2:5" s="1" customFormat="1" ht="15.6" x14ac:dyDescent="0.3"/>
    <row r="32" spans="2:5" s="1" customFormat="1" ht="15.6" x14ac:dyDescent="0.3"/>
    <row r="33" s="1" customFormat="1" ht="15.6" x14ac:dyDescent="0.3"/>
    <row r="34" s="1" customFormat="1" ht="15.6" x14ac:dyDescent="0.3"/>
    <row r="35" s="1" customFormat="1" ht="15.6" x14ac:dyDescent="0.3"/>
    <row r="36" s="1" customFormat="1" ht="15.6" x14ac:dyDescent="0.3"/>
    <row r="37" s="1" customFormat="1" ht="15.6" x14ac:dyDescent="0.3"/>
    <row r="38" s="1" customFormat="1" ht="15.6" x14ac:dyDescent="0.3"/>
    <row r="39" s="1" customFormat="1" ht="15.6" x14ac:dyDescent="0.3"/>
    <row r="40" s="1" customFormat="1" ht="15.6" x14ac:dyDescent="0.3"/>
    <row r="41" s="1" customFormat="1" ht="15.6" x14ac:dyDescent="0.3"/>
    <row r="42" s="1" customFormat="1" ht="15.6" x14ac:dyDescent="0.3"/>
    <row r="43" s="1" customFormat="1" ht="15.6" x14ac:dyDescent="0.3"/>
    <row r="44" s="1" customFormat="1" ht="15.6" x14ac:dyDescent="0.3"/>
    <row r="45" s="1" customFormat="1" ht="15.6" x14ac:dyDescent="0.3"/>
    <row r="46" s="1" customFormat="1" ht="15.6" x14ac:dyDescent="0.3"/>
    <row r="47" s="1" customFormat="1" ht="15.6" x14ac:dyDescent="0.3"/>
    <row r="48" s="1" customFormat="1" ht="15.6" x14ac:dyDescent="0.3"/>
    <row r="49" s="1" customFormat="1" ht="15.6" x14ac:dyDescent="0.3"/>
    <row r="50" s="1" customFormat="1" ht="15.6" x14ac:dyDescent="0.3"/>
    <row r="51" s="1" customFormat="1" ht="15.6" x14ac:dyDescent="0.3"/>
    <row r="52" s="1" customFormat="1" ht="15.6" x14ac:dyDescent="0.3"/>
    <row r="53" s="1" customFormat="1" ht="15.6" x14ac:dyDescent="0.3"/>
    <row r="54" s="1" customFormat="1" ht="15.6" x14ac:dyDescent="0.3"/>
    <row r="55" s="1" customFormat="1" ht="15.6" x14ac:dyDescent="0.3"/>
    <row r="56" s="1" customFormat="1" ht="15.6" x14ac:dyDescent="0.3"/>
    <row r="57" s="1" customFormat="1" ht="15.6" x14ac:dyDescent="0.3"/>
    <row r="58" s="1" customFormat="1" ht="15.6" x14ac:dyDescent="0.3"/>
    <row r="59" s="1" customFormat="1" ht="15.6" x14ac:dyDescent="0.3"/>
    <row r="60" s="1" customFormat="1" ht="15.6" x14ac:dyDescent="0.3"/>
    <row r="61" s="1" customFormat="1" ht="15.6" x14ac:dyDescent="0.3"/>
    <row r="62" s="1" customFormat="1" ht="15.6" x14ac:dyDescent="0.3"/>
    <row r="63" s="1" customFormat="1" ht="15.6" x14ac:dyDescent="0.3"/>
    <row r="64" s="1" customFormat="1" ht="15.6" x14ac:dyDescent="0.3"/>
    <row r="65" s="1" customFormat="1" ht="15.6" x14ac:dyDescent="0.3"/>
    <row r="66" s="1" customFormat="1" ht="15.6" x14ac:dyDescent="0.3"/>
    <row r="67" s="1" customFormat="1" ht="15.6" x14ac:dyDescent="0.3"/>
    <row r="68" s="1" customFormat="1" ht="15.6" x14ac:dyDescent="0.3"/>
    <row r="69" s="1" customFormat="1" ht="15.6" x14ac:dyDescent="0.3"/>
    <row r="70" s="1" customFormat="1" ht="15.6" x14ac:dyDescent="0.3"/>
    <row r="71" s="1" customFormat="1" ht="15.6" x14ac:dyDescent="0.3"/>
    <row r="72" s="1" customFormat="1" ht="15.6" x14ac:dyDescent="0.3"/>
    <row r="73" s="1" customFormat="1" ht="15.6" x14ac:dyDescent="0.3"/>
    <row r="74" s="1" customFormat="1" ht="15.6" x14ac:dyDescent="0.3"/>
    <row r="75" s="1" customFormat="1" ht="15.6" x14ac:dyDescent="0.3"/>
    <row r="76" s="1" customFormat="1" ht="15.6" x14ac:dyDescent="0.3"/>
    <row r="77" s="1" customFormat="1" ht="15.6" x14ac:dyDescent="0.3"/>
    <row r="78" s="1" customFormat="1" ht="15.6" x14ac:dyDescent="0.3"/>
    <row r="79" s="1" customFormat="1" ht="15.6" x14ac:dyDescent="0.3"/>
    <row r="80" s="1" customFormat="1" ht="15.6" x14ac:dyDescent="0.3"/>
    <row r="81" s="1" customFormat="1" ht="15.6" x14ac:dyDescent="0.3"/>
    <row r="82" s="1" customFormat="1" ht="15.6" x14ac:dyDescent="0.3"/>
    <row r="83" s="1" customFormat="1" ht="15.6" x14ac:dyDescent="0.3"/>
    <row r="84" s="1" customFormat="1" ht="15.6" x14ac:dyDescent="0.3"/>
    <row r="85" s="1" customFormat="1" ht="15.6" x14ac:dyDescent="0.3"/>
    <row r="86" s="1" customFormat="1" ht="15.6" x14ac:dyDescent="0.3"/>
    <row r="87" s="1" customFormat="1" ht="15.6" x14ac:dyDescent="0.3"/>
    <row r="88" s="1" customFormat="1" ht="15.6" x14ac:dyDescent="0.3"/>
    <row r="89" s="1" customFormat="1" ht="15.6" x14ac:dyDescent="0.3"/>
    <row r="90" s="1" customFormat="1" ht="15.6" x14ac:dyDescent="0.3"/>
    <row r="91" s="1" customFormat="1" ht="15.6" x14ac:dyDescent="0.3"/>
    <row r="92" s="1" customFormat="1" ht="15.6" x14ac:dyDescent="0.3"/>
    <row r="93" s="1" customFormat="1" ht="15.6" x14ac:dyDescent="0.3"/>
    <row r="94" s="1" customFormat="1" ht="15.6" x14ac:dyDescent="0.3"/>
    <row r="95" s="1" customFormat="1" ht="15.6" x14ac:dyDescent="0.3"/>
    <row r="96" s="1" customFormat="1" ht="15.6" x14ac:dyDescent="0.3"/>
    <row r="97" s="1" customFormat="1" ht="15.6" x14ac:dyDescent="0.3"/>
    <row r="98" s="1" customFormat="1" ht="15.6" x14ac:dyDescent="0.3"/>
    <row r="99" s="1" customFormat="1" ht="15.6" x14ac:dyDescent="0.3"/>
    <row r="100" s="1" customFormat="1" ht="15.6" x14ac:dyDescent="0.3"/>
    <row r="101" s="1" customFormat="1" ht="15.6" x14ac:dyDescent="0.3"/>
    <row r="102" s="1" customFormat="1" ht="15.6" x14ac:dyDescent="0.3"/>
    <row r="103" s="1" customFormat="1" ht="15.6" x14ac:dyDescent="0.3"/>
    <row r="104" s="1" customFormat="1" ht="15.6" x14ac:dyDescent="0.3"/>
    <row r="105" s="1" customFormat="1" ht="15.6" x14ac:dyDescent="0.3"/>
    <row r="106" s="1" customFormat="1" ht="15.6" x14ac:dyDescent="0.3"/>
    <row r="107" s="1" customFormat="1" ht="15.6" x14ac:dyDescent="0.3"/>
    <row r="108" s="1" customFormat="1" ht="15.6" x14ac:dyDescent="0.3"/>
    <row r="109" s="1" customFormat="1" ht="15.6" x14ac:dyDescent="0.3"/>
    <row r="110" s="1" customFormat="1" ht="15.6" x14ac:dyDescent="0.3"/>
    <row r="111" s="1" customFormat="1" ht="15.6" x14ac:dyDescent="0.3"/>
    <row r="112" s="1" customFormat="1" ht="15.6" x14ac:dyDescent="0.3"/>
    <row r="113" s="1" customFormat="1" ht="15.6" x14ac:dyDescent="0.3"/>
    <row r="114" s="1" customFormat="1" ht="15.6" x14ac:dyDescent="0.3"/>
    <row r="115" s="1" customFormat="1" ht="15.6" x14ac:dyDescent="0.3"/>
    <row r="116" s="1" customFormat="1" ht="15.6" x14ac:dyDescent="0.3"/>
    <row r="117" s="1" customFormat="1" ht="15.6" x14ac:dyDescent="0.3"/>
    <row r="118" s="1" customFormat="1" ht="15.6" x14ac:dyDescent="0.3"/>
    <row r="119" s="1" customFormat="1" ht="15.6" x14ac:dyDescent="0.3"/>
    <row r="120" s="1" customFormat="1" ht="15.6" x14ac:dyDescent="0.3"/>
    <row r="121" s="1" customFormat="1" ht="15.6" x14ac:dyDescent="0.3"/>
    <row r="122" s="1" customFormat="1" ht="15.6" x14ac:dyDescent="0.3"/>
    <row r="123" s="1" customFormat="1" ht="15.6" x14ac:dyDescent="0.3"/>
    <row r="124" s="1" customFormat="1" ht="15.6" x14ac:dyDescent="0.3"/>
    <row r="125" s="1" customFormat="1" ht="15.6" x14ac:dyDescent="0.3"/>
    <row r="126" s="1" customFormat="1" ht="15.6" x14ac:dyDescent="0.3"/>
    <row r="127" s="1" customFormat="1" ht="15.6" x14ac:dyDescent="0.3"/>
    <row r="128" s="1" customFormat="1" ht="15.6" x14ac:dyDescent="0.3"/>
    <row r="129" s="1" customFormat="1" ht="15.6" x14ac:dyDescent="0.3"/>
    <row r="130" s="1" customFormat="1" ht="15.6" x14ac:dyDescent="0.3"/>
    <row r="131" s="1" customFormat="1" ht="15.6" x14ac:dyDescent="0.3"/>
    <row r="132" s="1" customFormat="1" ht="15.6" x14ac:dyDescent="0.3"/>
    <row r="133" s="1" customFormat="1" ht="15.6" x14ac:dyDescent="0.3"/>
    <row r="134" s="1" customFormat="1" ht="15.6" x14ac:dyDescent="0.3"/>
    <row r="135" s="1" customFormat="1" ht="15.6" x14ac:dyDescent="0.3"/>
    <row r="136" s="1" customFormat="1" ht="15.6" x14ac:dyDescent="0.3"/>
    <row r="137" s="1" customFormat="1" ht="15.6" x14ac:dyDescent="0.3"/>
    <row r="138" s="1" customFormat="1" ht="15.6" x14ac:dyDescent="0.3"/>
    <row r="139" s="1" customFormat="1" ht="15.6" x14ac:dyDescent="0.3"/>
    <row r="140" s="1" customFormat="1" ht="15.6" x14ac:dyDescent="0.3"/>
    <row r="141" s="1" customFormat="1" ht="15.6" x14ac:dyDescent="0.3"/>
    <row r="142" s="1" customFormat="1" ht="15.6" x14ac:dyDescent="0.3"/>
    <row r="143" s="1" customFormat="1" ht="15.6" x14ac:dyDescent="0.3"/>
    <row r="144" s="1" customFormat="1" ht="15.6" x14ac:dyDescent="0.3"/>
    <row r="145" s="1" customFormat="1" ht="15.6" x14ac:dyDescent="0.3"/>
    <row r="146" s="1" customFormat="1" ht="15.6" x14ac:dyDescent="0.3"/>
    <row r="147" s="1" customFormat="1" ht="15.6" x14ac:dyDescent="0.3"/>
    <row r="148" s="1" customFormat="1" ht="15.6" x14ac:dyDescent="0.3"/>
    <row r="149" s="1" customFormat="1" ht="15.6" x14ac:dyDescent="0.3"/>
    <row r="150" s="1" customFormat="1" ht="15.6" x14ac:dyDescent="0.3"/>
    <row r="151" s="1" customFormat="1" ht="15.6" x14ac:dyDescent="0.3"/>
    <row r="152" s="1" customFormat="1" ht="15.6" x14ac:dyDescent="0.3"/>
    <row r="153" s="1" customFormat="1" ht="15.6" x14ac:dyDescent="0.3"/>
    <row r="154" s="1" customFormat="1" ht="15.6" x14ac:dyDescent="0.3"/>
    <row r="155" s="1" customFormat="1" ht="15.6" x14ac:dyDescent="0.3"/>
    <row r="156" s="1" customFormat="1" ht="15.6" x14ac:dyDescent="0.3"/>
    <row r="157" s="1" customFormat="1" ht="15.6" x14ac:dyDescent="0.3"/>
    <row r="158" s="1" customFormat="1" ht="15.6" x14ac:dyDescent="0.3"/>
    <row r="159" s="1" customFormat="1" ht="15.6" x14ac:dyDescent="0.3"/>
    <row r="160" s="1" customFormat="1" ht="15.6" x14ac:dyDescent="0.3"/>
    <row r="161" s="1" customFormat="1" ht="15.6" x14ac:dyDescent="0.3"/>
    <row r="162" s="1" customFormat="1" ht="15.6" x14ac:dyDescent="0.3"/>
    <row r="163" s="1" customFormat="1" ht="15.6" x14ac:dyDescent="0.3"/>
    <row r="164" s="1" customFormat="1" ht="15.6" x14ac:dyDescent="0.3"/>
    <row r="165" s="1" customFormat="1" ht="15.6" x14ac:dyDescent="0.3"/>
    <row r="166" s="1" customFormat="1" ht="15.6" x14ac:dyDescent="0.3"/>
    <row r="167" s="1" customFormat="1" ht="15.6" x14ac:dyDescent="0.3"/>
    <row r="168" s="1" customFormat="1" ht="15.6" x14ac:dyDescent="0.3"/>
    <row r="169" s="1" customFormat="1" ht="15.6" x14ac:dyDescent="0.3"/>
    <row r="170" s="1" customFormat="1" ht="15.6" x14ac:dyDescent="0.3"/>
  </sheetData>
  <printOptions gridLines="1"/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31"/>
  <sheetViews>
    <sheetView workbookViewId="0">
      <selection activeCell="K17" sqref="K17"/>
    </sheetView>
  </sheetViews>
  <sheetFormatPr defaultColWidth="9.109375" defaultRowHeight="15.6" x14ac:dyDescent="0.3"/>
  <cols>
    <col min="1" max="1" width="46.88671875" style="1" customWidth="1"/>
    <col min="2" max="4" width="23.109375" style="1" customWidth="1"/>
    <col min="5" max="6" width="22.5546875" style="1" customWidth="1"/>
    <col min="7" max="7" width="15.6640625" style="1" customWidth="1"/>
    <col min="8" max="8" width="21" style="1" bestFit="1" customWidth="1"/>
    <col min="9" max="9" width="25.6640625" style="1" bestFit="1" customWidth="1"/>
    <col min="10" max="10" width="30.6640625" style="1" bestFit="1" customWidth="1"/>
    <col min="11" max="11" width="12" style="1" customWidth="1"/>
    <col min="12" max="12" width="12.6640625" style="1" customWidth="1"/>
    <col min="13" max="13" width="11.5546875" bestFit="1" customWidth="1"/>
    <col min="14" max="14" width="10.44140625" style="1" customWidth="1"/>
    <col min="15" max="15" width="4.109375" style="1" customWidth="1"/>
    <col min="16" max="16" width="12.6640625" style="1" bestFit="1" customWidth="1"/>
    <col min="17" max="17" width="18.6640625" style="1" bestFit="1" customWidth="1"/>
    <col min="18" max="18" width="7.6640625" style="1" customWidth="1"/>
    <col min="19" max="28" width="18.33203125" style="1" bestFit="1" customWidth="1"/>
    <col min="29" max="16384" width="9.109375" style="1"/>
  </cols>
  <sheetData>
    <row r="1" spans="1:22" ht="17.399999999999999" x14ac:dyDescent="0.3">
      <c r="A1" s="8" t="s">
        <v>934</v>
      </c>
    </row>
    <row r="2" spans="1:22" x14ac:dyDescent="0.3">
      <c r="D2" s="53"/>
      <c r="E2" s="53"/>
      <c r="F2" s="53"/>
      <c r="G2" s="53"/>
      <c r="H2" s="53"/>
      <c r="I2" s="53"/>
      <c r="J2" s="53"/>
      <c r="K2" s="53"/>
      <c r="L2" s="53"/>
      <c r="N2" s="53"/>
      <c r="O2" s="53"/>
      <c r="P2" s="53"/>
      <c r="Q2" s="53"/>
      <c r="R2" s="53"/>
      <c r="S2" s="53"/>
      <c r="T2" s="53"/>
      <c r="U2" s="53"/>
      <c r="V2" s="53"/>
    </row>
    <row r="3" spans="1:22" x14ac:dyDescent="0.3">
      <c r="A3" s="12"/>
      <c r="B3" s="453"/>
      <c r="D3" s="53"/>
      <c r="E3" s="53"/>
      <c r="F3" s="53"/>
      <c r="G3" s="53"/>
      <c r="H3" s="53"/>
      <c r="I3" s="53"/>
      <c r="J3" s="53"/>
      <c r="K3" s="53"/>
      <c r="L3" s="53"/>
      <c r="N3" s="53"/>
      <c r="O3" s="53"/>
      <c r="P3" s="53"/>
      <c r="Q3" s="53"/>
      <c r="R3" s="53"/>
      <c r="S3" s="53"/>
      <c r="T3" s="53"/>
      <c r="U3" s="53"/>
      <c r="V3" s="53"/>
    </row>
    <row r="4" spans="1:22" x14ac:dyDescent="0.3">
      <c r="A4" s="27"/>
      <c r="B4" s="19">
        <v>2024</v>
      </c>
      <c r="C4" s="596"/>
      <c r="D4" s="596"/>
      <c r="E4" s="42"/>
      <c r="F4" s="42"/>
      <c r="G4" s="55"/>
      <c r="H4" s="241"/>
      <c r="I4" s="241"/>
      <c r="J4" s="804"/>
      <c r="K4" s="241"/>
      <c r="L4" s="804"/>
      <c r="N4" s="241"/>
      <c r="O4" s="241"/>
      <c r="P4" s="821"/>
      <c r="Q4" s="241"/>
      <c r="R4" s="53"/>
      <c r="S4" s="53"/>
      <c r="T4" s="53"/>
      <c r="U4" s="53"/>
      <c r="V4" s="53"/>
    </row>
    <row r="5" spans="1:22" ht="17.399999999999999" x14ac:dyDescent="0.3">
      <c r="A5" s="15" t="s">
        <v>320</v>
      </c>
      <c r="B5" s="882">
        <v>3800000</v>
      </c>
      <c r="C5" s="920" t="s">
        <v>824</v>
      </c>
      <c r="D5" s="583"/>
      <c r="E5" s="571"/>
      <c r="F5" s="571"/>
      <c r="G5" s="571"/>
      <c r="H5" s="571"/>
      <c r="I5" s="571"/>
      <c r="J5" s="571"/>
      <c r="K5" s="571"/>
      <c r="L5" s="571"/>
      <c r="N5" s="571"/>
      <c r="O5" s="571"/>
      <c r="P5" s="571"/>
      <c r="Q5" s="571"/>
      <c r="R5" s="53"/>
      <c r="S5" s="53"/>
      <c r="T5" s="53"/>
      <c r="U5" s="53"/>
      <c r="V5" s="53"/>
    </row>
    <row r="6" spans="1:22" ht="17.399999999999999" x14ac:dyDescent="0.3">
      <c r="A6" s="12" t="s">
        <v>148</v>
      </c>
      <c r="B6" s="244">
        <f>C16</f>
        <v>3004018</v>
      </c>
      <c r="C6" s="359" t="e">
        <f>#REF!*C11*1.34*0</f>
        <v>#REF!</v>
      </c>
      <c r="D6" s="572"/>
      <c r="E6" s="573"/>
      <c r="F6" s="573"/>
      <c r="G6" s="548"/>
      <c r="H6" s="548"/>
      <c r="I6" s="549"/>
      <c r="J6" s="549"/>
      <c r="K6" s="549"/>
      <c r="L6" s="549"/>
      <c r="N6" s="549"/>
      <c r="O6" s="53"/>
      <c r="P6" s="53"/>
      <c r="Q6" s="53"/>
      <c r="R6" s="53"/>
      <c r="S6" s="53"/>
      <c r="T6" s="53"/>
      <c r="U6" s="53"/>
      <c r="V6" s="53"/>
    </row>
    <row r="7" spans="1:22" ht="17.399999999999999" x14ac:dyDescent="0.3">
      <c r="A7" s="12" t="s">
        <v>318</v>
      </c>
      <c r="B7" s="576"/>
      <c r="C7" s="41" t="s">
        <v>319</v>
      </c>
      <c r="D7" s="573"/>
      <c r="E7" s="573"/>
      <c r="F7" s="573"/>
      <c r="G7" s="548"/>
      <c r="H7" s="549"/>
      <c r="I7" s="549"/>
      <c r="J7" s="549"/>
      <c r="K7" s="549"/>
      <c r="L7" s="549"/>
      <c r="N7" s="581"/>
      <c r="O7" s="53"/>
      <c r="P7" s="53"/>
      <c r="Q7" s="53"/>
      <c r="R7" s="53"/>
      <c r="S7" s="53"/>
      <c r="T7" s="53"/>
      <c r="U7" s="53"/>
      <c r="V7" s="53"/>
    </row>
    <row r="8" spans="1:22" ht="20.399999999999999" x14ac:dyDescent="0.35">
      <c r="A8" s="15" t="s">
        <v>299</v>
      </c>
      <c r="B8" s="546">
        <f>B6+B5+B7</f>
        <v>6804018</v>
      </c>
      <c r="D8" s="574"/>
      <c r="E8" s="574"/>
      <c r="F8" s="574"/>
      <c r="G8" s="574"/>
      <c r="H8" s="574"/>
      <c r="I8" s="574"/>
      <c r="J8" s="574"/>
      <c r="K8" s="574"/>
      <c r="L8" s="574"/>
      <c r="N8" s="582"/>
      <c r="O8" s="53"/>
      <c r="P8" s="53"/>
      <c r="Q8" s="53"/>
      <c r="R8" s="53"/>
      <c r="S8" s="53"/>
      <c r="T8" s="53"/>
      <c r="U8" s="53"/>
      <c r="V8" s="53"/>
    </row>
    <row r="9" spans="1:22" x14ac:dyDescent="0.3">
      <c r="A9" s="547" t="s">
        <v>322</v>
      </c>
      <c r="B9" s="580">
        <f>B6-C16</f>
        <v>0</v>
      </c>
      <c r="D9" s="574"/>
      <c r="E9" s="574"/>
      <c r="F9" s="574"/>
      <c r="G9" s="574"/>
      <c r="H9" s="574"/>
      <c r="I9" s="574"/>
      <c r="J9" s="574"/>
      <c r="K9" s="574"/>
      <c r="L9" s="574"/>
      <c r="N9" s="582"/>
      <c r="O9" s="53"/>
      <c r="P9" s="53"/>
      <c r="Q9" s="53"/>
      <c r="R9" s="53"/>
      <c r="S9" s="53"/>
      <c r="T9" s="53"/>
      <c r="U9" s="53"/>
      <c r="V9" s="53"/>
    </row>
    <row r="11" spans="1:22" x14ac:dyDescent="0.3">
      <c r="A11" s="15" t="s">
        <v>321</v>
      </c>
      <c r="B11" s="577" t="s">
        <v>317</v>
      </c>
      <c r="C11" s="578"/>
      <c r="F11" s="778"/>
      <c r="G11" s="33"/>
    </row>
    <row r="12" spans="1:22" x14ac:dyDescent="0.3">
      <c r="B12" s="579" t="s">
        <v>324</v>
      </c>
      <c r="C12" s="593"/>
      <c r="F12" s="1" t="s">
        <v>935</v>
      </c>
    </row>
    <row r="13" spans="1:22" x14ac:dyDescent="0.3">
      <c r="B13" s="245" t="s">
        <v>3</v>
      </c>
      <c r="C13" s="253">
        <f>SUMIF($R$15:$R$25,B13,$Q$15:$Q$25)*1.338</f>
        <v>0</v>
      </c>
      <c r="D13" s="567" t="str">
        <f>"mzdové náklady převedené "&amp;B13&amp;" (viz list 10/sl.K)"</f>
        <v>mzdové náklady převedené ITE (viz list 10/sl.K)</v>
      </c>
      <c r="F13" s="866" t="s">
        <v>274</v>
      </c>
      <c r="G13" s="387"/>
      <c r="H13" s="387"/>
      <c r="I13" s="387"/>
      <c r="J13" s="387"/>
    </row>
    <row r="14" spans="1:22" ht="16.2" thickBot="1" x14ac:dyDescent="0.35">
      <c r="B14" s="245" t="s">
        <v>2</v>
      </c>
      <c r="C14" s="253">
        <f>SUMIF($R$15:$R$25,B14,$Q$15:$Q$25)*1.338</f>
        <v>0</v>
      </c>
      <c r="D14" s="567" t="str">
        <f>"mzdové náklady převedené "&amp;B14&amp;" (viz list 10/sl.K)"</f>
        <v>mzdové náklady převedené MTI (viz list 10/sl.K)</v>
      </c>
      <c r="G14" s="428" t="s">
        <v>278</v>
      </c>
      <c r="H14" s="428" t="s">
        <v>822</v>
      </c>
      <c r="I14" s="428" t="s">
        <v>820</v>
      </c>
      <c r="J14" s="428" t="s">
        <v>821</v>
      </c>
      <c r="L14" s="428" t="s">
        <v>521</v>
      </c>
      <c r="M14" s="428" t="s">
        <v>522</v>
      </c>
      <c r="N14" s="531"/>
      <c r="P14" s="428" t="s">
        <v>521</v>
      </c>
      <c r="Q14" s="428" t="s">
        <v>523</v>
      </c>
    </row>
    <row r="15" spans="1:22" x14ac:dyDescent="0.3">
      <c r="B15" s="245" t="s">
        <v>1</v>
      </c>
      <c r="C15" s="253">
        <f>SUMIF($R$15:$R$25,B15,$Q$15:$Q$25)*1.338+SUMIF($R$15:$R$25,B15,$Q$15:$Q$25)*0.01</f>
        <v>202200</v>
      </c>
      <c r="D15" s="567" t="str">
        <f>"mzdové náklady převedené "&amp;B15&amp;" (viz list 10/sl.K)"</f>
        <v>mzdové náklady převedené NTI (viz list 10/sl.K)</v>
      </c>
      <c r="F15" s="426" t="s">
        <v>938</v>
      </c>
      <c r="G15" s="867">
        <f>(50000*0.3)</f>
        <v>15000</v>
      </c>
      <c r="H15" s="868">
        <v>22000</v>
      </c>
      <c r="I15" s="869">
        <v>0</v>
      </c>
      <c r="J15" s="870"/>
      <c r="K15" s="3" t="s">
        <v>442</v>
      </c>
      <c r="L15" s="3">
        <v>12</v>
      </c>
      <c r="M15" s="425">
        <f>SUM(G15:I15)*L15</f>
        <v>444000</v>
      </c>
      <c r="N15" s="429" t="s">
        <v>9</v>
      </c>
      <c r="P15" s="3">
        <v>0</v>
      </c>
      <c r="Q15" s="425">
        <f>J15*L15</f>
        <v>0</v>
      </c>
      <c r="R15" s="429" t="s">
        <v>2</v>
      </c>
    </row>
    <row r="16" spans="1:22" ht="16.2" x14ac:dyDescent="0.35">
      <c r="B16" s="245" t="s">
        <v>9</v>
      </c>
      <c r="C16" s="253">
        <f>SUMIF($N$15:$N$25,B16,$M$15:$M$25)*1.338+SUMIF($N$15:$N$25,B16,$M$15:$M$25)*0.01</f>
        <v>3004018</v>
      </c>
      <c r="D16" s="567" t="str">
        <f>"mzdové náklady rozpočtem "&amp;B16&amp;" mimo paušál &gt; viz B6"</f>
        <v>mzdové náklady rozpočtem DFM mimo paušál &gt; viz B6</v>
      </c>
      <c r="F16" s="427" t="s">
        <v>936</v>
      </c>
      <c r="G16" s="855">
        <f>50000*0.25</f>
        <v>12500</v>
      </c>
      <c r="H16" s="856">
        <v>10000</v>
      </c>
      <c r="I16" s="857">
        <v>0</v>
      </c>
      <c r="J16" s="858">
        <f>50000*0.25</f>
        <v>12500</v>
      </c>
      <c r="K16" s="575" t="s">
        <v>443</v>
      </c>
      <c r="L16" s="575">
        <v>12</v>
      </c>
      <c r="M16" s="425">
        <f>SUM(G16:I16)*L16</f>
        <v>270000</v>
      </c>
      <c r="N16" s="429" t="s">
        <v>9</v>
      </c>
      <c r="P16" s="3">
        <v>12</v>
      </c>
      <c r="Q16" s="425">
        <f>J16*L16</f>
        <v>150000</v>
      </c>
      <c r="R16" s="429" t="s">
        <v>1</v>
      </c>
    </row>
    <row r="17" spans="1:18" ht="16.2" x14ac:dyDescent="0.35">
      <c r="B17" s="245"/>
      <c r="C17" s="253"/>
      <c r="D17" s="567"/>
      <c r="F17" s="427" t="s">
        <v>275</v>
      </c>
      <c r="G17" s="855">
        <f>55000*0.5</f>
        <v>27500</v>
      </c>
      <c r="H17" s="856">
        <v>10000</v>
      </c>
      <c r="I17" s="857">
        <v>0</v>
      </c>
      <c r="J17" s="858"/>
      <c r="K17" s="575" t="s">
        <v>443</v>
      </c>
      <c r="L17" s="575">
        <v>12</v>
      </c>
      <c r="M17" s="425">
        <f>(SUM(G17:I17)*L17)+5800</f>
        <v>455800</v>
      </c>
      <c r="N17" s="429" t="s">
        <v>9</v>
      </c>
      <c r="P17" s="3">
        <v>0</v>
      </c>
      <c r="Q17" s="425">
        <f>J17*P17</f>
        <v>0</v>
      </c>
      <c r="R17" s="429" t="s">
        <v>3</v>
      </c>
    </row>
    <row r="18" spans="1:18" ht="16.2" x14ac:dyDescent="0.35">
      <c r="C18" s="580"/>
      <c r="D18" s="569"/>
      <c r="F18" s="427" t="s">
        <v>937</v>
      </c>
      <c r="G18" s="855">
        <f>38000*0.5</f>
        <v>19000</v>
      </c>
      <c r="H18" s="856">
        <v>10000</v>
      </c>
      <c r="I18" s="857">
        <v>0</v>
      </c>
      <c r="J18" s="858"/>
      <c r="K18" s="575" t="s">
        <v>443</v>
      </c>
      <c r="L18" s="575">
        <v>12</v>
      </c>
      <c r="M18" s="425">
        <f t="shared" ref="M18:M25" si="0">SUM(G18:I18)*L18</f>
        <v>348000</v>
      </c>
      <c r="N18" s="429" t="s">
        <v>9</v>
      </c>
      <c r="P18" s="3">
        <v>0</v>
      </c>
      <c r="Q18" s="425">
        <f t="shared" ref="Q18:Q25" si="1">J18*L18</f>
        <v>0</v>
      </c>
      <c r="R18" s="429" t="s">
        <v>2</v>
      </c>
    </row>
    <row r="19" spans="1:18" ht="16.2" x14ac:dyDescent="0.35">
      <c r="C19" s="580"/>
      <c r="D19" s="569"/>
      <c r="F19" s="427" t="s">
        <v>939</v>
      </c>
      <c r="G19" s="855">
        <f>38000*0.5</f>
        <v>19000</v>
      </c>
      <c r="H19" s="856">
        <v>10000</v>
      </c>
      <c r="I19" s="857">
        <v>0</v>
      </c>
      <c r="J19" s="858"/>
      <c r="K19" s="575" t="s">
        <v>443</v>
      </c>
      <c r="L19" s="575">
        <v>13</v>
      </c>
      <c r="M19" s="425">
        <f t="shared" ref="M19" si="2">SUM(G19:I19)*L19</f>
        <v>377000</v>
      </c>
      <c r="N19" s="429" t="s">
        <v>9</v>
      </c>
      <c r="P19" s="3">
        <v>0</v>
      </c>
      <c r="Q19" s="425">
        <f t="shared" ref="Q19" si="3">J19*L19</f>
        <v>0</v>
      </c>
      <c r="R19" s="429" t="s">
        <v>2</v>
      </c>
    </row>
    <row r="20" spans="1:18" x14ac:dyDescent="0.3">
      <c r="F20" s="426" t="s">
        <v>298</v>
      </c>
      <c r="G20" s="871">
        <f>30000*0.2</f>
        <v>6000</v>
      </c>
      <c r="H20" s="872">
        <v>0</v>
      </c>
      <c r="I20" s="873">
        <v>6000</v>
      </c>
      <c r="J20" s="874"/>
      <c r="K20" s="171" t="s">
        <v>972</v>
      </c>
      <c r="L20" s="575">
        <v>12</v>
      </c>
      <c r="M20" s="425">
        <f t="shared" si="0"/>
        <v>144000</v>
      </c>
      <c r="N20" s="429" t="s">
        <v>9</v>
      </c>
      <c r="P20" s="3">
        <v>0</v>
      </c>
      <c r="Q20" s="425">
        <f t="shared" si="1"/>
        <v>0</v>
      </c>
      <c r="R20" s="429" t="s">
        <v>946</v>
      </c>
    </row>
    <row r="21" spans="1:18" x14ac:dyDescent="0.3">
      <c r="F21" s="426" t="s">
        <v>276</v>
      </c>
      <c r="G21" s="871">
        <f>40000*0.1</f>
        <v>4000</v>
      </c>
      <c r="H21" s="872">
        <v>0</v>
      </c>
      <c r="I21" s="873">
        <v>1500</v>
      </c>
      <c r="J21" s="874"/>
      <c r="K21" s="750" t="s">
        <v>942</v>
      </c>
      <c r="L21" s="575">
        <v>12</v>
      </c>
      <c r="M21" s="425">
        <f t="shared" si="0"/>
        <v>66000</v>
      </c>
      <c r="N21" s="429" t="s">
        <v>9</v>
      </c>
      <c r="P21" s="3">
        <v>0</v>
      </c>
      <c r="Q21" s="425">
        <f t="shared" si="1"/>
        <v>0</v>
      </c>
      <c r="R21" s="429" t="s">
        <v>2</v>
      </c>
    </row>
    <row r="22" spans="1:18" x14ac:dyDescent="0.3">
      <c r="F22" s="426" t="s">
        <v>941</v>
      </c>
      <c r="G22" s="871">
        <f>38000*0.05</f>
        <v>1900</v>
      </c>
      <c r="H22" s="872">
        <v>0</v>
      </c>
      <c r="I22" s="873">
        <v>0</v>
      </c>
      <c r="J22" s="874"/>
      <c r="K22" s="750" t="s">
        <v>943</v>
      </c>
      <c r="L22" s="575">
        <v>12</v>
      </c>
      <c r="M22" s="425">
        <f t="shared" si="0"/>
        <v>22800</v>
      </c>
      <c r="N22" s="429" t="s">
        <v>9</v>
      </c>
      <c r="P22" s="3">
        <v>0</v>
      </c>
      <c r="Q22" s="425">
        <f t="shared" si="1"/>
        <v>0</v>
      </c>
      <c r="R22" s="429" t="s">
        <v>2</v>
      </c>
    </row>
    <row r="23" spans="1:18" x14ac:dyDescent="0.3">
      <c r="A23" s="919"/>
      <c r="F23" s="426" t="s">
        <v>331</v>
      </c>
      <c r="G23" s="871">
        <f>37000*0.05</f>
        <v>1850</v>
      </c>
      <c r="H23" s="872">
        <v>0</v>
      </c>
      <c r="I23" s="873">
        <v>1850</v>
      </c>
      <c r="J23" s="874"/>
      <c r="K23" s="750" t="s">
        <v>944</v>
      </c>
      <c r="L23" s="575">
        <v>12</v>
      </c>
      <c r="M23" s="425">
        <f t="shared" si="0"/>
        <v>44400</v>
      </c>
      <c r="N23" s="429" t="s">
        <v>9</v>
      </c>
      <c r="P23" s="3">
        <v>0</v>
      </c>
      <c r="Q23" s="425">
        <f t="shared" si="1"/>
        <v>0</v>
      </c>
      <c r="R23" s="429" t="s">
        <v>3</v>
      </c>
    </row>
    <row r="24" spans="1:18" x14ac:dyDescent="0.3">
      <c r="A24" s="27"/>
      <c r="F24" s="426" t="s">
        <v>444</v>
      </c>
      <c r="G24" s="875">
        <v>0</v>
      </c>
      <c r="H24" s="876">
        <v>0</v>
      </c>
      <c r="I24" s="877">
        <v>3500</v>
      </c>
      <c r="J24" s="874"/>
      <c r="K24" s="750" t="s">
        <v>445</v>
      </c>
      <c r="L24" s="575">
        <v>12</v>
      </c>
      <c r="M24" s="425">
        <f t="shared" si="0"/>
        <v>42000</v>
      </c>
      <c r="N24" s="429" t="s">
        <v>9</v>
      </c>
      <c r="P24" s="3">
        <v>0</v>
      </c>
      <c r="Q24" s="425">
        <f t="shared" si="1"/>
        <v>0</v>
      </c>
      <c r="R24" s="429" t="s">
        <v>1</v>
      </c>
    </row>
    <row r="25" spans="1:18" ht="16.2" thickBot="1" x14ac:dyDescent="0.35">
      <c r="F25" s="426" t="s">
        <v>277</v>
      </c>
      <c r="G25" s="878">
        <f>29000*0.25</f>
        <v>7250</v>
      </c>
      <c r="H25" s="879"/>
      <c r="I25" s="880">
        <v>7250</v>
      </c>
      <c r="J25" s="881"/>
      <c r="K25" s="750" t="s">
        <v>945</v>
      </c>
      <c r="L25" s="575">
        <v>1</v>
      </c>
      <c r="M25" s="425">
        <f t="shared" si="0"/>
        <v>14500</v>
      </c>
      <c r="N25" s="429" t="s">
        <v>9</v>
      </c>
      <c r="P25" s="3">
        <v>0</v>
      </c>
      <c r="Q25" s="425">
        <f t="shared" si="1"/>
        <v>0</v>
      </c>
      <c r="R25" s="429" t="s">
        <v>2</v>
      </c>
    </row>
    <row r="26" spans="1:18" x14ac:dyDescent="0.3">
      <c r="F26" s="43"/>
      <c r="G26" s="516"/>
      <c r="H26" s="841"/>
      <c r="I26" s="583"/>
      <c r="J26" s="583"/>
      <c r="L26" s="575"/>
    </row>
    <row r="27" spans="1:18" x14ac:dyDescent="0.3">
      <c r="F27" s="524" t="s">
        <v>823</v>
      </c>
      <c r="H27" s="27"/>
      <c r="I27" s="286"/>
      <c r="J27" s="27"/>
      <c r="M27" s="349"/>
    </row>
    <row r="28" spans="1:18" x14ac:dyDescent="0.3">
      <c r="F28" s="524" t="s">
        <v>940</v>
      </c>
      <c r="G28" s="375"/>
      <c r="K28" s="375"/>
      <c r="L28" s="375"/>
    </row>
    <row r="29" spans="1:18" x14ac:dyDescent="0.3">
      <c r="F29" s="919" t="s">
        <v>889</v>
      </c>
    </row>
    <row r="30" spans="1:18" x14ac:dyDescent="0.3">
      <c r="E30" s="219"/>
    </row>
    <row r="31" spans="1:18" x14ac:dyDescent="0.3">
      <c r="E31" s="219"/>
    </row>
  </sheetData>
  <phoneticPr fontId="120" type="noConversion"/>
  <printOptions horizontalCentered="1" gridLines="1"/>
  <pageMargins left="0" right="0" top="0.78740157480314965" bottom="0" header="0.31496062992125984" footer="0"/>
  <pageSetup paperSize="9" scale="99" orientation="landscape" horizontalDpi="4294967295" verticalDpi="4294967295" r:id="rId1"/>
  <headerFooter>
    <oddHeader>&amp;R&amp;Z&amp;F
List: &amp;A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76"/>
  <sheetViews>
    <sheetView zoomScale="85" zoomScaleNormal="85" workbookViewId="0">
      <pane xSplit="1" ySplit="10" topLeftCell="B11" activePane="bottomRight" state="frozen"/>
      <selection pane="topRight" activeCell="B1" sqref="B1"/>
      <selection pane="bottomLeft" activeCell="A4" sqref="A4"/>
      <selection pane="bottomRight" activeCell="I14" sqref="I14"/>
    </sheetView>
  </sheetViews>
  <sheetFormatPr defaultColWidth="9.109375" defaultRowHeight="18" x14ac:dyDescent="0.35"/>
  <cols>
    <col min="1" max="1" width="11.33203125" style="9" customWidth="1"/>
    <col min="2" max="2" width="26" style="56" customWidth="1"/>
    <col min="3" max="3" width="14.44140625" style="71" customWidth="1"/>
    <col min="4" max="4" width="15.44140625" style="56" bestFit="1" customWidth="1"/>
    <col min="5" max="5" width="11" style="71" customWidth="1"/>
    <col min="6" max="6" width="16.33203125" style="56" customWidth="1"/>
    <col min="7" max="7" width="19" style="56" customWidth="1"/>
    <col min="8" max="8" width="17.44140625" style="72" customWidth="1"/>
    <col min="9" max="9" width="17.33203125" style="11" customWidth="1"/>
    <col min="10" max="10" width="13.44140625" style="8" customWidth="1"/>
    <col min="11" max="13" width="16.33203125" style="8" customWidth="1"/>
    <col min="14" max="14" width="21.44140625" style="9" customWidth="1"/>
    <col min="15" max="15" width="8.109375" style="9" customWidth="1"/>
    <col min="16" max="16" width="13.88671875" style="9" bestFit="1" customWidth="1"/>
    <col min="17" max="17" width="9" style="40" customWidth="1"/>
    <col min="18" max="18" width="16.33203125" style="9" customWidth="1"/>
    <col min="19" max="19" width="13.5546875" style="9" customWidth="1"/>
    <col min="20" max="20" width="14" style="9" customWidth="1"/>
    <col min="21" max="21" width="22.33203125" style="9" customWidth="1"/>
    <col min="22" max="23" width="16" style="9" bestFit="1" customWidth="1"/>
    <col min="24" max="24" width="12.88671875" style="9" bestFit="1" customWidth="1"/>
    <col min="25" max="25" width="11.88671875" style="9" customWidth="1"/>
    <col min="26" max="26" width="18.5546875" style="9" customWidth="1"/>
    <col min="27" max="27" width="10" style="9" bestFit="1" customWidth="1"/>
    <col min="28" max="28" width="12.33203125" style="9" customWidth="1"/>
    <col min="29" max="29" width="17.5546875" style="9" customWidth="1"/>
    <col min="30" max="30" width="9.88671875" style="9" bestFit="1" customWidth="1"/>
    <col min="31" max="32" width="9.109375" style="9"/>
    <col min="33" max="33" width="16.44140625" style="9" customWidth="1"/>
    <col min="34" max="34" width="15" style="9" customWidth="1"/>
    <col min="35" max="35" width="9.109375" style="9"/>
    <col min="36" max="36" width="13.6640625" style="9" customWidth="1"/>
    <col min="37" max="16384" width="9.109375" style="9"/>
  </cols>
  <sheetData>
    <row r="1" spans="1:27" x14ac:dyDescent="0.35">
      <c r="A1" s="8" t="s">
        <v>969</v>
      </c>
      <c r="O1" s="40"/>
      <c r="P1" s="40"/>
    </row>
    <row r="2" spans="1:27" x14ac:dyDescent="0.35">
      <c r="A2" s="8"/>
      <c r="O2" s="40"/>
      <c r="P2" s="40"/>
    </row>
    <row r="3" spans="1:27" x14ac:dyDescent="0.35">
      <c r="A3" s="8"/>
      <c r="B3" s="663" t="s">
        <v>347</v>
      </c>
      <c r="C3" s="9"/>
      <c r="D3" s="206">
        <f>'0_PRIDEL'!B19</f>
        <v>47020030.203449816</v>
      </c>
      <c r="O3" s="40"/>
      <c r="P3" s="40"/>
    </row>
    <row r="4" spans="1:27" x14ac:dyDescent="0.35">
      <c r="A4" s="8"/>
      <c r="B4" s="75" t="s">
        <v>957</v>
      </c>
      <c r="C4" s="75">
        <f>'4_DOC_PROF'!I15</f>
        <v>60000</v>
      </c>
      <c r="D4" s="56">
        <f>D3-C4</f>
        <v>46960030.203449816</v>
      </c>
      <c r="O4" s="40"/>
      <c r="P4" s="40"/>
    </row>
    <row r="5" spans="1:27" x14ac:dyDescent="0.35">
      <c r="A5" s="8"/>
      <c r="B5" s="75" t="s">
        <v>956</v>
      </c>
      <c r="C5" s="75">
        <f>'4a_úvazky-na-FM'!G27</f>
        <v>512642.63215301622</v>
      </c>
      <c r="D5" s="664">
        <f>D4-C5</f>
        <v>46447387.571296796</v>
      </c>
      <c r="O5" s="40"/>
      <c r="P5" s="40"/>
    </row>
    <row r="6" spans="1:27" x14ac:dyDescent="0.35">
      <c r="A6" s="8"/>
      <c r="B6" s="75" t="s">
        <v>958</v>
      </c>
      <c r="C6" s="75">
        <f>SUM('9_DFM'!C13:C15)</f>
        <v>202200</v>
      </c>
      <c r="D6" s="664">
        <f>D5-C6</f>
        <v>46245187.571296796</v>
      </c>
      <c r="O6" s="40"/>
      <c r="P6" s="40"/>
    </row>
    <row r="7" spans="1:27" x14ac:dyDescent="0.35">
      <c r="A7" s="8"/>
      <c r="B7" s="75" t="s">
        <v>959</v>
      </c>
      <c r="C7" s="75">
        <f>'6_Garanti'!O46</f>
        <v>385344</v>
      </c>
      <c r="D7" s="664">
        <f>D6-C7</f>
        <v>45859843.571296796</v>
      </c>
      <c r="E7" s="724" t="s">
        <v>433</v>
      </c>
      <c r="O7" s="40"/>
      <c r="P7" s="40"/>
    </row>
    <row r="8" spans="1:27" ht="20.399999999999999" x14ac:dyDescent="0.35">
      <c r="A8" s="254"/>
      <c r="O8" s="40"/>
      <c r="P8" s="40"/>
    </row>
    <row r="9" spans="1:27" x14ac:dyDescent="0.35">
      <c r="B9" s="56" t="s">
        <v>80</v>
      </c>
      <c r="C9" s="56" t="s">
        <v>81</v>
      </c>
      <c r="D9" s="56" t="s">
        <v>82</v>
      </c>
      <c r="E9" s="56" t="s">
        <v>83</v>
      </c>
      <c r="F9" s="56" t="s">
        <v>38</v>
      </c>
      <c r="G9" s="56" t="s">
        <v>39</v>
      </c>
      <c r="H9" s="56" t="s">
        <v>79</v>
      </c>
      <c r="I9" s="56" t="s">
        <v>78</v>
      </c>
      <c r="J9" s="56" t="s">
        <v>40</v>
      </c>
      <c r="K9" s="56" t="s">
        <v>119</v>
      </c>
      <c r="L9" s="56" t="s">
        <v>207</v>
      </c>
      <c r="M9" s="56" t="s">
        <v>230</v>
      </c>
      <c r="N9" s="56" t="s">
        <v>280</v>
      </c>
      <c r="P9" s="72"/>
    </row>
    <row r="10" spans="1:27" s="11" customFormat="1" ht="52.8" x14ac:dyDescent="0.35">
      <c r="A10" s="255"/>
      <c r="B10" s="256" t="s">
        <v>58</v>
      </c>
      <c r="C10" s="36" t="s">
        <v>6</v>
      </c>
      <c r="D10" s="256" t="s">
        <v>0</v>
      </c>
      <c r="E10" s="36" t="s">
        <v>6</v>
      </c>
      <c r="F10" s="132" t="s">
        <v>31</v>
      </c>
      <c r="G10" s="619" t="s">
        <v>122</v>
      </c>
      <c r="H10" s="129" t="s">
        <v>37</v>
      </c>
      <c r="I10" s="620" t="s">
        <v>123</v>
      </c>
      <c r="J10" s="129" t="s">
        <v>210</v>
      </c>
      <c r="K10" s="129" t="s">
        <v>253</v>
      </c>
      <c r="L10" s="129" t="s">
        <v>229</v>
      </c>
      <c r="M10" s="129" t="s">
        <v>279</v>
      </c>
      <c r="N10" s="129" t="s">
        <v>227</v>
      </c>
      <c r="P10" s="851"/>
      <c r="V10" s="9"/>
      <c r="W10" s="9"/>
      <c r="X10" s="9"/>
      <c r="Y10" s="9"/>
      <c r="Z10" s="9"/>
      <c r="AA10" s="9"/>
    </row>
    <row r="11" spans="1:27" x14ac:dyDescent="0.35">
      <c r="A11" s="15" t="s">
        <v>3</v>
      </c>
      <c r="B11" s="257">
        <f>'5_Výuka'!E345</f>
        <v>4102198.4287021374</v>
      </c>
      <c r="C11" s="257">
        <f>B11/$B$16*100</f>
        <v>18.807503883379137</v>
      </c>
      <c r="D11" s="257">
        <f>'5_Výuka'!H345</f>
        <v>2192228.5816698177</v>
      </c>
      <c r="E11" s="257">
        <f>D11/$D$16*100</f>
        <v>17.87319021467798</v>
      </c>
      <c r="F11" s="257">
        <f>'2_Projekty_BP_DP'!J5</f>
        <v>332000</v>
      </c>
      <c r="G11" s="257">
        <f>B11+D11+F11</f>
        <v>6626427.0103719551</v>
      </c>
      <c r="H11" s="257">
        <f>'3_DSP'!O7</f>
        <v>1511979.3887181256</v>
      </c>
      <c r="I11" s="257">
        <f>G11+H11</f>
        <v>8138406.3990900805</v>
      </c>
      <c r="J11" s="257">
        <f>'4_DOC_PROF'!K7</f>
        <v>30000</v>
      </c>
      <c r="K11" s="257">
        <f>'9_DFM'!C13</f>
        <v>0</v>
      </c>
      <c r="L11" s="257">
        <f>'4a_úvazky-na-FM'!G24</f>
        <v>112923.46820584311</v>
      </c>
      <c r="M11" s="257">
        <f>'6_Garanti'!O42</f>
        <v>0</v>
      </c>
      <c r="N11" s="258">
        <f>I11+J11+K11+L11+M11</f>
        <v>8281329.8672959236</v>
      </c>
      <c r="O11" s="497"/>
      <c r="P11" s="852"/>
      <c r="W11" s="73"/>
      <c r="X11" s="73"/>
      <c r="Z11" s="97"/>
    </row>
    <row r="12" spans="1:27" x14ac:dyDescent="0.35">
      <c r="A12" s="15" t="s">
        <v>2</v>
      </c>
      <c r="B12" s="257">
        <f>'5_Výuka'!E346</f>
        <v>10842765.478320919</v>
      </c>
      <c r="C12" s="257">
        <f>B12/$B$16*100</f>
        <v>49.711235910303905</v>
      </c>
      <c r="D12" s="257">
        <f>'5_Výuka'!H346</f>
        <v>6301126.286419671</v>
      </c>
      <c r="E12" s="257">
        <f>D12/$D$16*100</f>
        <v>51.372940589116325</v>
      </c>
      <c r="F12" s="257">
        <f>'2_Projekty_BP_DP'!J6</f>
        <v>1732000</v>
      </c>
      <c r="G12" s="257">
        <f>B12+D12+F12</f>
        <v>18875891.76474059</v>
      </c>
      <c r="H12" s="257">
        <f>'3_DSP'!O8</f>
        <v>2015972.5182908343</v>
      </c>
      <c r="I12" s="257">
        <f t="shared" ref="I12" si="0">G12+H12</f>
        <v>20891864.283031423</v>
      </c>
      <c r="J12" s="257">
        <f>'4_DOC_PROF'!K8</f>
        <v>30000</v>
      </c>
      <c r="K12" s="257">
        <f>'9_DFM'!C14</f>
        <v>0</v>
      </c>
      <c r="L12" s="257">
        <f>'4a_úvazky-na-FM'!G25</f>
        <v>226808.44181741241</v>
      </c>
      <c r="M12" s="257">
        <f>'6_Garanti'!O43</f>
        <v>0</v>
      </c>
      <c r="N12" s="258">
        <f>I12+J12+K12+L12+M12</f>
        <v>21148672.724848837</v>
      </c>
      <c r="O12" s="497"/>
      <c r="P12" s="852"/>
      <c r="W12" s="73"/>
      <c r="X12" s="73"/>
      <c r="Z12" s="97"/>
    </row>
    <row r="13" spans="1:27" x14ac:dyDescent="0.35">
      <c r="A13" s="15" t="s">
        <v>1</v>
      </c>
      <c r="B13" s="257">
        <f>'5_Výuka'!E347</f>
        <v>6866534.5998436455</v>
      </c>
      <c r="C13" s="257">
        <f>B13/$B$16*100</f>
        <v>31.481260206316964</v>
      </c>
      <c r="D13" s="257">
        <f>'5_Výuka'!H347</f>
        <v>3772102.810917899</v>
      </c>
      <c r="E13" s="257">
        <f>D13/$D$16*100</f>
        <v>30.753869196205692</v>
      </c>
      <c r="F13" s="257">
        <f>'2_Projekty_BP_DP'!J7</f>
        <v>666000</v>
      </c>
      <c r="G13" s="257">
        <f>B13+D13+F13</f>
        <v>11304637.410761544</v>
      </c>
      <c r="H13" s="257">
        <f>'3_DSP'!O9</f>
        <v>4724935.5897441432</v>
      </c>
      <c r="I13" s="257">
        <f>G13+H13</f>
        <v>16029573.000505688</v>
      </c>
      <c r="J13" s="257">
        <f>'4_DOC_PROF'!K9</f>
        <v>0</v>
      </c>
      <c r="K13" s="257">
        <f>'9_DFM'!C15</f>
        <v>202200</v>
      </c>
      <c r="L13" s="257">
        <f>'4a_úvazky-na-FM'!G26</f>
        <v>172910.72212976072</v>
      </c>
      <c r="M13" s="257">
        <f>'6_Garanti'!O44</f>
        <v>0</v>
      </c>
      <c r="N13" s="258">
        <f>I13+J13+K13+L13+M13</f>
        <v>16404683.722635448</v>
      </c>
      <c r="O13" s="497"/>
      <c r="P13" s="852"/>
      <c r="W13" s="73"/>
      <c r="X13" s="73"/>
    </row>
    <row r="14" spans="1:27" x14ac:dyDescent="0.35">
      <c r="A14" s="15" t="s">
        <v>9</v>
      </c>
      <c r="B14" s="257"/>
      <c r="C14" s="257"/>
      <c r="D14" s="257"/>
      <c r="E14" s="257"/>
      <c r="F14" s="257"/>
      <c r="G14" s="257"/>
      <c r="H14" s="257">
        <f>'3_DSP'!O10+0.11</f>
        <v>799999.99866960372</v>
      </c>
      <c r="I14" s="257">
        <f t="shared" ref="I14:I15" si="1">G14+H14</f>
        <v>799999.99866960372</v>
      </c>
      <c r="J14" s="257"/>
      <c r="K14" s="257"/>
      <c r="L14" s="257"/>
      <c r="M14" s="257">
        <f>'6_Garanti'!O46</f>
        <v>385344</v>
      </c>
      <c r="N14" s="258">
        <f>I14+J14+K14+L14+M14</f>
        <v>1185343.9986696038</v>
      </c>
      <c r="O14" s="958"/>
      <c r="P14" s="852"/>
      <c r="W14" s="73"/>
      <c r="X14" s="73"/>
    </row>
    <row r="15" spans="1:27" ht="18.600000000000001" thickBot="1" x14ac:dyDescent="0.4">
      <c r="A15" s="15" t="s">
        <v>509</v>
      </c>
      <c r="B15" s="791"/>
      <c r="C15" s="791"/>
      <c r="D15" s="791"/>
      <c r="E15" s="791"/>
      <c r="F15" s="791"/>
      <c r="G15" s="791"/>
      <c r="H15" s="791">
        <f>'3_DSP'!O16</f>
        <v>0</v>
      </c>
      <c r="I15" s="791">
        <f t="shared" si="1"/>
        <v>0</v>
      </c>
      <c r="J15" s="791"/>
      <c r="K15" s="791"/>
      <c r="L15" s="791"/>
      <c r="M15" s="791"/>
      <c r="N15" s="792">
        <f>I15+J15+K15+L15+M15</f>
        <v>0</v>
      </c>
      <c r="O15" s="497"/>
      <c r="P15" s="497"/>
      <c r="W15" s="73"/>
      <c r="X15" s="73"/>
    </row>
    <row r="16" spans="1:27" ht="18.600000000000001" thickBot="1" x14ac:dyDescent="0.4">
      <c r="A16" s="58"/>
      <c r="B16" s="259">
        <f t="shared" ref="B16:K16" si="2">SUM(B11:B14)</f>
        <v>21811498.506866701</v>
      </c>
      <c r="C16" s="260">
        <f t="shared" si="2"/>
        <v>100</v>
      </c>
      <c r="D16" s="261">
        <f t="shared" si="2"/>
        <v>12265457.679007389</v>
      </c>
      <c r="E16" s="260">
        <f t="shared" si="2"/>
        <v>100</v>
      </c>
      <c r="F16" s="262">
        <f t="shared" si="2"/>
        <v>2730000</v>
      </c>
      <c r="G16" s="263">
        <f t="shared" si="2"/>
        <v>36806956.18587409</v>
      </c>
      <c r="H16" s="226">
        <f>SUM(H11:H15)</f>
        <v>9052887.495422706</v>
      </c>
      <c r="I16" s="264">
        <f t="shared" si="2"/>
        <v>45859843.681296796</v>
      </c>
      <c r="J16" s="265">
        <f t="shared" si="2"/>
        <v>60000</v>
      </c>
      <c r="K16" s="265">
        <f t="shared" si="2"/>
        <v>202200</v>
      </c>
      <c r="L16" s="265">
        <f>SUM(L11:L14)</f>
        <v>512642.63215301622</v>
      </c>
      <c r="M16" s="265">
        <f>SUM(M11:M14)</f>
        <v>385344</v>
      </c>
      <c r="N16" s="266">
        <f>SUM(N11:N15)</f>
        <v>47020030.313449807</v>
      </c>
      <c r="W16" s="74"/>
      <c r="X16" s="74"/>
    </row>
    <row r="17" spans="2:18" x14ac:dyDescent="0.35">
      <c r="C17" s="76"/>
      <c r="D17" s="74"/>
      <c r="E17" s="74"/>
      <c r="F17" s="74"/>
      <c r="G17" s="74"/>
      <c r="H17" s="40"/>
      <c r="I17" s="113"/>
      <c r="J17" s="114"/>
      <c r="K17" s="114"/>
      <c r="L17" s="114"/>
      <c r="M17" s="594" t="s">
        <v>297</v>
      </c>
      <c r="N17" s="595">
        <f>N16-'0_PRIDEL'!B19</f>
        <v>0.10999999195337296</v>
      </c>
      <c r="O17" s="79"/>
      <c r="P17" s="79"/>
      <c r="R17" s="80"/>
    </row>
    <row r="18" spans="2:18" x14ac:dyDescent="0.35">
      <c r="B18" s="75"/>
      <c r="I18" s="82"/>
      <c r="N18" s="8"/>
      <c r="O18" s="2"/>
    </row>
    <row r="19" spans="2:18" x14ac:dyDescent="0.35">
      <c r="B19" s="75"/>
      <c r="I19" s="82"/>
      <c r="N19" s="8"/>
    </row>
    <row r="20" spans="2:18" x14ac:dyDescent="0.35">
      <c r="B20" s="75"/>
      <c r="I20" s="82"/>
      <c r="N20" s="8"/>
      <c r="O20" s="2"/>
    </row>
    <row r="21" spans="2:18" x14ac:dyDescent="0.35">
      <c r="B21" s="75"/>
      <c r="I21" s="82"/>
      <c r="N21" s="8"/>
      <c r="O21" s="2"/>
    </row>
    <row r="22" spans="2:18" x14ac:dyDescent="0.35">
      <c r="B22" s="77"/>
      <c r="I22" s="82"/>
      <c r="N22" s="8"/>
      <c r="O22" s="2"/>
    </row>
    <row r="23" spans="2:18" s="78" customFormat="1" x14ac:dyDescent="0.35">
      <c r="B23" s="77"/>
      <c r="I23" s="81"/>
      <c r="J23" s="83"/>
      <c r="K23" s="83"/>
      <c r="L23" s="83"/>
      <c r="M23" s="83"/>
      <c r="N23" s="83"/>
      <c r="O23" s="19"/>
    </row>
    <row r="24" spans="2:18" s="78" customFormat="1" x14ac:dyDescent="0.35">
      <c r="B24" s="77"/>
      <c r="I24" s="81"/>
      <c r="J24" s="83"/>
      <c r="K24" s="83"/>
      <c r="L24" s="83"/>
      <c r="M24" s="83"/>
      <c r="N24" s="83"/>
      <c r="O24" s="19"/>
    </row>
    <row r="25" spans="2:18" s="78" customFormat="1" x14ac:dyDescent="0.35">
      <c r="B25" s="77"/>
      <c r="I25" s="81"/>
      <c r="J25" s="83"/>
      <c r="K25" s="83"/>
      <c r="L25" s="83"/>
      <c r="M25" s="83"/>
      <c r="N25" s="83"/>
      <c r="O25" s="19"/>
    </row>
    <row r="26" spans="2:18" s="78" customFormat="1" x14ac:dyDescent="0.35">
      <c r="B26" s="98"/>
      <c r="C26" s="99"/>
      <c r="D26" s="99"/>
      <c r="E26" s="99"/>
      <c r="F26" s="99"/>
      <c r="G26" s="99"/>
      <c r="H26" s="99"/>
      <c r="I26" s="81"/>
      <c r="J26" s="83"/>
      <c r="K26" s="83"/>
      <c r="L26" s="83"/>
      <c r="M26" s="83"/>
      <c r="N26" s="83"/>
      <c r="O26" s="19"/>
    </row>
    <row r="27" spans="2:18" s="78" customFormat="1" x14ac:dyDescent="0.35">
      <c r="B27" s="108"/>
      <c r="C27" s="109"/>
      <c r="D27" s="60"/>
      <c r="E27" s="101"/>
      <c r="F27" s="100"/>
      <c r="G27" s="100"/>
      <c r="H27" s="110"/>
      <c r="I27" s="81"/>
      <c r="J27" s="83"/>
      <c r="K27" s="83"/>
      <c r="L27" s="83"/>
      <c r="M27" s="83"/>
      <c r="N27" s="83"/>
      <c r="O27" s="19"/>
    </row>
    <row r="28" spans="2:18" s="78" customFormat="1" x14ac:dyDescent="0.35">
      <c r="B28" s="58"/>
      <c r="C28" s="58"/>
      <c r="D28" s="58"/>
      <c r="E28" s="101"/>
      <c r="F28" s="100"/>
      <c r="G28" s="100"/>
      <c r="H28" s="110"/>
      <c r="I28" s="81"/>
      <c r="J28" s="83"/>
      <c r="K28" s="83"/>
      <c r="L28" s="83"/>
      <c r="M28" s="83"/>
      <c r="N28" s="83"/>
      <c r="O28" s="19"/>
    </row>
    <row r="29" spans="2:18" s="78" customFormat="1" x14ac:dyDescent="0.35">
      <c r="B29" s="100"/>
      <c r="C29" s="102"/>
      <c r="D29" s="100"/>
      <c r="E29" s="44"/>
      <c r="F29" s="44"/>
      <c r="G29" s="111"/>
      <c r="H29" s="44"/>
      <c r="I29" s="31"/>
      <c r="J29" s="84"/>
      <c r="K29" s="84"/>
      <c r="L29" s="84"/>
      <c r="M29" s="84"/>
      <c r="N29" s="85"/>
      <c r="O29" s="85"/>
    </row>
    <row r="30" spans="2:18" x14ac:dyDescent="0.35">
      <c r="B30" s="100"/>
      <c r="C30" s="101"/>
      <c r="D30" s="38"/>
      <c r="E30" s="112"/>
      <c r="F30" s="112"/>
      <c r="G30" s="112"/>
      <c r="H30" s="102"/>
      <c r="I30" s="35"/>
      <c r="J30" s="13"/>
      <c r="K30" s="13"/>
      <c r="L30" s="13"/>
      <c r="M30" s="13"/>
      <c r="N30" s="35"/>
      <c r="O30" s="35"/>
    </row>
    <row r="31" spans="2:18" x14ac:dyDescent="0.35">
      <c r="B31" s="100"/>
      <c r="C31" s="101"/>
      <c r="D31" s="38"/>
      <c r="E31" s="112"/>
      <c r="F31" s="112"/>
      <c r="G31" s="112"/>
      <c r="H31" s="102"/>
      <c r="I31" s="35"/>
      <c r="J31" s="13"/>
      <c r="K31" s="13"/>
      <c r="L31" s="13"/>
      <c r="M31" s="13"/>
      <c r="N31" s="35"/>
      <c r="O31" s="35"/>
    </row>
    <row r="32" spans="2:18" x14ac:dyDescent="0.35">
      <c r="B32" s="100"/>
      <c r="C32" s="101"/>
      <c r="D32" s="38"/>
      <c r="E32" s="112"/>
      <c r="F32" s="112"/>
      <c r="G32" s="112"/>
      <c r="H32" s="102"/>
      <c r="I32" s="35"/>
      <c r="J32" s="13"/>
      <c r="K32" s="13"/>
      <c r="L32" s="13"/>
      <c r="M32" s="13"/>
      <c r="N32" s="35"/>
      <c r="O32" s="35"/>
    </row>
    <row r="33" spans="1:19" x14ac:dyDescent="0.35">
      <c r="B33" s="100"/>
      <c r="C33" s="101"/>
      <c r="D33" s="100"/>
      <c r="E33" s="101"/>
      <c r="F33" s="101"/>
      <c r="G33" s="101"/>
      <c r="H33" s="89"/>
      <c r="I33" s="37"/>
      <c r="J33" s="6"/>
      <c r="K33" s="6"/>
      <c r="L33" s="6"/>
      <c r="M33" s="6"/>
      <c r="N33" s="37"/>
      <c r="O33" s="7"/>
    </row>
    <row r="34" spans="1:19" x14ac:dyDescent="0.35">
      <c r="B34" s="100"/>
      <c r="C34" s="101"/>
      <c r="D34" s="100"/>
      <c r="E34" s="102"/>
      <c r="F34" s="103"/>
      <c r="G34" s="103"/>
      <c r="H34" s="102"/>
      <c r="I34" s="3"/>
      <c r="J34" s="3"/>
      <c r="K34" s="3"/>
      <c r="L34" s="3"/>
      <c r="M34" s="3"/>
      <c r="N34" s="3"/>
      <c r="O34" s="72"/>
    </row>
    <row r="35" spans="1:19" x14ac:dyDescent="0.35">
      <c r="B35" s="100"/>
      <c r="C35" s="101"/>
      <c r="D35" s="100"/>
      <c r="E35" s="102"/>
      <c r="F35" s="103"/>
      <c r="G35" s="104"/>
      <c r="H35" s="89"/>
      <c r="I35" s="35"/>
      <c r="J35" s="35"/>
      <c r="K35" s="35"/>
      <c r="L35" s="35"/>
      <c r="M35" s="35"/>
      <c r="N35" s="35"/>
    </row>
    <row r="36" spans="1:19" x14ac:dyDescent="0.35">
      <c r="B36" s="100"/>
      <c r="C36" s="101"/>
      <c r="D36" s="100"/>
      <c r="E36" s="101"/>
      <c r="F36" s="100"/>
      <c r="G36" s="100"/>
      <c r="H36" s="105"/>
      <c r="J36" s="11"/>
      <c r="K36" s="11"/>
      <c r="L36" s="11"/>
      <c r="M36" s="11"/>
      <c r="N36" s="11"/>
    </row>
    <row r="37" spans="1:19" x14ac:dyDescent="0.35">
      <c r="B37" s="100"/>
      <c r="C37" s="101"/>
      <c r="D37" s="100"/>
      <c r="E37" s="101"/>
      <c r="F37" s="100"/>
      <c r="G37" s="100"/>
      <c r="H37" s="105"/>
      <c r="N37" s="8"/>
    </row>
    <row r="38" spans="1:19" x14ac:dyDescent="0.35">
      <c r="B38" s="100"/>
      <c r="C38" s="101"/>
      <c r="D38" s="100"/>
      <c r="E38" s="101"/>
      <c r="F38" s="100"/>
      <c r="G38" s="100"/>
      <c r="H38" s="44"/>
      <c r="I38" s="44"/>
      <c r="J38" s="86"/>
      <c r="K38" s="86"/>
      <c r="L38" s="86"/>
      <c r="M38" s="86"/>
      <c r="N38" s="86"/>
    </row>
    <row r="39" spans="1:19" x14ac:dyDescent="0.35">
      <c r="B39" s="100"/>
      <c r="C39" s="101"/>
      <c r="D39" s="106"/>
      <c r="E39" s="101"/>
      <c r="F39" s="100"/>
      <c r="G39" s="100"/>
      <c r="H39" s="107"/>
      <c r="I39" s="87"/>
      <c r="J39" s="86"/>
      <c r="K39" s="86"/>
      <c r="L39" s="86"/>
      <c r="M39" s="86"/>
      <c r="N39" s="86"/>
    </row>
    <row r="40" spans="1:19" x14ac:dyDescent="0.35">
      <c r="A40" s="40"/>
      <c r="B40" s="48"/>
      <c r="C40" s="101"/>
      <c r="D40" s="106"/>
      <c r="E40" s="101"/>
      <c r="F40" s="100"/>
      <c r="G40" s="100"/>
      <c r="H40" s="107"/>
      <c r="I40" s="87"/>
      <c r="N40" s="8"/>
    </row>
    <row r="41" spans="1:19" x14ac:dyDescent="0.35">
      <c r="A41" s="40"/>
      <c r="B41" s="40"/>
      <c r="D41" s="12"/>
      <c r="H41" s="87"/>
      <c r="I41" s="87"/>
      <c r="N41" s="8"/>
    </row>
    <row r="42" spans="1:19" x14ac:dyDescent="0.35">
      <c r="A42" s="40"/>
      <c r="B42" s="40"/>
      <c r="J42" s="9"/>
      <c r="K42" s="9"/>
      <c r="L42" s="9"/>
      <c r="M42" s="9"/>
    </row>
    <row r="43" spans="1:19" x14ac:dyDescent="0.35">
      <c r="N43" s="8"/>
      <c r="R43" s="88"/>
      <c r="S43" s="88"/>
    </row>
    <row r="44" spans="1:19" x14ac:dyDescent="0.35">
      <c r="N44" s="8"/>
      <c r="R44" s="88"/>
      <c r="S44" s="88"/>
    </row>
    <row r="45" spans="1:19" x14ac:dyDescent="0.35">
      <c r="N45" s="8"/>
      <c r="R45" s="88"/>
      <c r="S45" s="88"/>
    </row>
    <row r="46" spans="1:19" x14ac:dyDescent="0.35">
      <c r="N46" s="8"/>
      <c r="R46" s="88"/>
      <c r="S46" s="88"/>
    </row>
    <row r="47" spans="1:19" x14ac:dyDescent="0.35">
      <c r="N47" s="8"/>
      <c r="R47" s="88"/>
      <c r="S47" s="88"/>
    </row>
    <row r="48" spans="1:19" x14ac:dyDescent="0.35">
      <c r="N48" s="8"/>
      <c r="R48" s="88"/>
      <c r="S48" s="88"/>
    </row>
    <row r="49" spans="14:14" x14ac:dyDescent="0.35">
      <c r="N49" s="8"/>
    </row>
    <row r="50" spans="14:14" x14ac:dyDescent="0.35">
      <c r="N50" s="8"/>
    </row>
    <row r="51" spans="14:14" x14ac:dyDescent="0.35">
      <c r="N51" s="8"/>
    </row>
    <row r="52" spans="14:14" x14ac:dyDescent="0.35">
      <c r="N52" s="8"/>
    </row>
    <row r="53" spans="14:14" x14ac:dyDescent="0.35">
      <c r="N53" s="8"/>
    </row>
    <row r="54" spans="14:14" x14ac:dyDescent="0.35">
      <c r="N54" s="8"/>
    </row>
    <row r="55" spans="14:14" x14ac:dyDescent="0.35">
      <c r="N55" s="8"/>
    </row>
    <row r="56" spans="14:14" x14ac:dyDescent="0.35">
      <c r="N56" s="8"/>
    </row>
    <row r="57" spans="14:14" x14ac:dyDescent="0.35">
      <c r="N57" s="8"/>
    </row>
    <row r="58" spans="14:14" x14ac:dyDescent="0.35">
      <c r="N58" s="8"/>
    </row>
    <row r="59" spans="14:14" x14ac:dyDescent="0.35">
      <c r="N59" s="8"/>
    </row>
    <row r="60" spans="14:14" x14ac:dyDescent="0.35">
      <c r="N60" s="8"/>
    </row>
    <row r="61" spans="14:14" x14ac:dyDescent="0.35">
      <c r="N61" s="8"/>
    </row>
    <row r="62" spans="14:14" x14ac:dyDescent="0.35">
      <c r="N62" s="8"/>
    </row>
    <row r="63" spans="14:14" x14ac:dyDescent="0.35">
      <c r="N63" s="8"/>
    </row>
    <row r="64" spans="14:14" x14ac:dyDescent="0.35">
      <c r="N64" s="8"/>
    </row>
    <row r="65" spans="14:14" x14ac:dyDescent="0.35">
      <c r="N65" s="8"/>
    </row>
    <row r="66" spans="14:14" x14ac:dyDescent="0.35">
      <c r="N66" s="8"/>
    </row>
    <row r="67" spans="14:14" x14ac:dyDescent="0.35">
      <c r="N67" s="8"/>
    </row>
    <row r="68" spans="14:14" x14ac:dyDescent="0.35">
      <c r="N68" s="8"/>
    </row>
    <row r="69" spans="14:14" x14ac:dyDescent="0.35">
      <c r="N69" s="8"/>
    </row>
    <row r="70" spans="14:14" x14ac:dyDescent="0.35">
      <c r="N70" s="8"/>
    </row>
    <row r="71" spans="14:14" x14ac:dyDescent="0.35">
      <c r="N71" s="8"/>
    </row>
    <row r="72" spans="14:14" x14ac:dyDescent="0.35">
      <c r="N72" s="8"/>
    </row>
    <row r="73" spans="14:14" x14ac:dyDescent="0.35">
      <c r="N73" s="8"/>
    </row>
    <row r="74" spans="14:14" x14ac:dyDescent="0.35">
      <c r="N74" s="8"/>
    </row>
    <row r="75" spans="14:14" x14ac:dyDescent="0.35">
      <c r="N75" s="8"/>
    </row>
    <row r="76" spans="14:14" x14ac:dyDescent="0.35">
      <c r="N76" s="8"/>
    </row>
  </sheetData>
  <dataConsolidate>
    <dataRefs count="1">
      <dataRef ref="B14:C14" sheet="10_Celkem_106"/>
    </dataRefs>
  </dataConsolidate>
  <phoneticPr fontId="0" type="noConversion"/>
  <printOptions horizontalCentered="1" gridLines="1"/>
  <pageMargins left="0" right="0" top="1.5748031496062993" bottom="0.19685039370078741" header="1.1811023622047245" footer="0.51181102362204722"/>
  <pageSetup paperSize="9" scale="74" orientation="landscape" r:id="rId1"/>
  <headerFooter alignWithMargins="0">
    <oddHeader>&amp;R&amp;Z&amp;F
List: &amp;A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51"/>
  <sheetViews>
    <sheetView topLeftCell="A4" workbookViewId="0">
      <selection activeCell="A2" sqref="A2"/>
    </sheetView>
  </sheetViews>
  <sheetFormatPr defaultColWidth="9.109375" defaultRowHeight="15.6" x14ac:dyDescent="0.3"/>
  <cols>
    <col min="1" max="1" width="18.88671875" style="1" customWidth="1"/>
    <col min="2" max="2" width="15.109375" style="1" bestFit="1" customWidth="1"/>
    <col min="3" max="3" width="35.33203125" style="1" customWidth="1"/>
    <col min="4" max="4" width="20.5546875" style="1" customWidth="1"/>
    <col min="5" max="6" width="12.33203125" style="1" customWidth="1"/>
    <col min="7" max="7" width="10.33203125" style="1" customWidth="1"/>
    <col min="8" max="8" width="13.6640625" style="1" customWidth="1"/>
    <col min="9" max="9" width="9.109375" style="1"/>
    <col min="10" max="10" width="20.5546875" style="1" bestFit="1" customWidth="1"/>
    <col min="11" max="11" width="18.5546875" style="1" customWidth="1"/>
    <col min="12" max="12" width="12.109375" style="1" customWidth="1"/>
    <col min="13" max="13" width="20.5546875" style="1" customWidth="1"/>
    <col min="14" max="14" width="11" style="1" customWidth="1"/>
    <col min="15" max="15" width="10.109375" style="1" bestFit="1" customWidth="1"/>
    <col min="16" max="16" width="11.44140625" style="1" bestFit="1" customWidth="1"/>
    <col min="17" max="17" width="14.5546875" style="1" customWidth="1"/>
    <col min="18" max="18" width="11.33203125" style="1" bestFit="1" customWidth="1"/>
    <col min="19" max="16384" width="9.109375" style="1"/>
  </cols>
  <sheetData>
    <row r="1" spans="1:16" ht="18" x14ac:dyDescent="0.35">
      <c r="A1" s="8" t="s">
        <v>967</v>
      </c>
      <c r="E1" s="778"/>
    </row>
    <row r="2" spans="1:16" ht="17.399999999999999" x14ac:dyDescent="0.3">
      <c r="A2" s="8"/>
    </row>
    <row r="3" spans="1:16" ht="16.2" thickBot="1" x14ac:dyDescent="0.35">
      <c r="A3" s="644" t="s">
        <v>462</v>
      </c>
      <c r="B3" s="645">
        <f>'0_PRIDEL'!B21</f>
        <v>4406959.59670767</v>
      </c>
      <c r="C3" s="778"/>
    </row>
    <row r="4" spans="1:16" ht="16.2" thickBot="1" x14ac:dyDescent="0.35">
      <c r="A4" s="534" t="s">
        <v>307</v>
      </c>
      <c r="B4" s="398">
        <f>E11</f>
        <v>334891</v>
      </c>
    </row>
    <row r="5" spans="1:16" x14ac:dyDescent="0.3">
      <c r="A5" s="644" t="s">
        <v>306</v>
      </c>
      <c r="B5" s="645">
        <f>B3-B4</f>
        <v>4072068.59670767</v>
      </c>
    </row>
    <row r="7" spans="1:16" x14ac:dyDescent="0.3">
      <c r="D7" s="531"/>
      <c r="E7" s="532"/>
      <c r="F7" s="533" t="s">
        <v>302</v>
      </c>
      <c r="G7" s="5"/>
      <c r="H7" s="3"/>
      <c r="J7" s="1060" t="s">
        <v>303</v>
      </c>
      <c r="K7" s="1060"/>
      <c r="L7" s="1060"/>
      <c r="M7" s="1060"/>
    </row>
    <row r="8" spans="1:16" ht="46.8" x14ac:dyDescent="0.3">
      <c r="D8" s="27"/>
      <c r="E8" s="129" t="s">
        <v>77</v>
      </c>
      <c r="F8" s="129" t="s">
        <v>327</v>
      </c>
      <c r="G8" s="5"/>
      <c r="H8" s="3"/>
      <c r="J8" s="12" t="s">
        <v>308</v>
      </c>
      <c r="K8" s="12" t="s">
        <v>309</v>
      </c>
      <c r="L8" s="12" t="s">
        <v>310</v>
      </c>
      <c r="M8" s="1" t="s">
        <v>314</v>
      </c>
    </row>
    <row r="9" spans="1:16" x14ac:dyDescent="0.3">
      <c r="B9" s="450"/>
      <c r="D9" s="15" t="s">
        <v>301</v>
      </c>
      <c r="E9" s="389">
        <v>109322</v>
      </c>
      <c r="F9" s="389">
        <v>21068</v>
      </c>
      <c r="G9" s="190" t="s">
        <v>304</v>
      </c>
      <c r="H9" s="3"/>
      <c r="J9" s="15" t="s">
        <v>294</v>
      </c>
      <c r="K9" s="14">
        <f>SUMIF($D$9:$D$31,J9,$E$9:$E$31)</f>
        <v>251318</v>
      </c>
      <c r="M9" s="116">
        <f>SUM(K9:L9)</f>
        <v>251318</v>
      </c>
    </row>
    <row r="10" spans="1:16" ht="16.2" thickBot="1" x14ac:dyDescent="0.35">
      <c r="B10" s="514"/>
      <c r="D10" s="15" t="s">
        <v>301</v>
      </c>
      <c r="E10" s="388">
        <v>225569</v>
      </c>
      <c r="F10" s="923">
        <v>21069</v>
      </c>
      <c r="G10" s="1" t="s">
        <v>305</v>
      </c>
      <c r="J10" s="15" t="s">
        <v>295</v>
      </c>
      <c r="K10" s="14">
        <f>SUMIF($D$9:$D$31,J10,$E$9:$E$31)</f>
        <v>1115719</v>
      </c>
      <c r="L10" s="14"/>
      <c r="M10" s="116">
        <f>SUM(K10:L10)</f>
        <v>1115719</v>
      </c>
    </row>
    <row r="11" spans="1:16" ht="16.2" thickBot="1" x14ac:dyDescent="0.35">
      <c r="D11" s="196" t="s">
        <v>261</v>
      </c>
      <c r="E11" s="398">
        <f>SUM(E9:E10)</f>
        <v>334891</v>
      </c>
      <c r="F11" s="455"/>
      <c r="H11" s="219"/>
      <c r="J11" s="15" t="s">
        <v>296</v>
      </c>
      <c r="K11" s="14">
        <f>SUMIF($D$9:$D$31,J11,$E$9:$E$31)</f>
        <v>2705032</v>
      </c>
      <c r="L11" s="14"/>
      <c r="M11" s="116">
        <f>SUM(K11:L11)</f>
        <v>2705032</v>
      </c>
    </row>
    <row r="12" spans="1:16" x14ac:dyDescent="0.3">
      <c r="C12" s="116"/>
      <c r="M12" s="2"/>
    </row>
    <row r="13" spans="1:16" ht="46.8" x14ac:dyDescent="0.3">
      <c r="C13" s="116"/>
      <c r="D13" s="267"/>
      <c r="E13" s="129" t="str">
        <f>E8</f>
        <v>Účelová podpora činnost 115</v>
      </c>
      <c r="F13" s="129" t="s">
        <v>327</v>
      </c>
      <c r="G13" s="127"/>
      <c r="H13" s="26"/>
      <c r="J13" s="15"/>
      <c r="K13" s="14"/>
      <c r="L13" s="14"/>
      <c r="M13" s="116"/>
    </row>
    <row r="14" spans="1:16" x14ac:dyDescent="0.3">
      <c r="D14" s="15" t="s">
        <v>294</v>
      </c>
      <c r="E14" s="388">
        <v>125659</v>
      </c>
      <c r="F14" s="390">
        <v>21476</v>
      </c>
      <c r="G14" s="922"/>
      <c r="H14" s="26"/>
      <c r="J14" s="15" t="s">
        <v>301</v>
      </c>
      <c r="K14" s="14">
        <f>SUMIF($D$9:$D$31,J14,$E$9:$E$31)</f>
        <v>334891</v>
      </c>
      <c r="M14" s="116">
        <f>SUM(K14:L14)</f>
        <v>334891</v>
      </c>
    </row>
    <row r="15" spans="1:16" x14ac:dyDescent="0.3">
      <c r="D15" s="15" t="s">
        <v>294</v>
      </c>
      <c r="E15" s="389">
        <v>125659</v>
      </c>
      <c r="F15" s="390">
        <v>21570</v>
      </c>
      <c r="G15" s="922"/>
      <c r="H15" s="26"/>
      <c r="M15" s="14">
        <f>SUM(M9:M14)</f>
        <v>4406960</v>
      </c>
      <c r="P15" s="42"/>
    </row>
    <row r="16" spans="1:16" x14ac:dyDescent="0.3">
      <c r="D16" s="15" t="s">
        <v>295</v>
      </c>
      <c r="E16" s="389">
        <v>150790</v>
      </c>
      <c r="F16" s="390">
        <v>21566</v>
      </c>
      <c r="G16" s="922"/>
      <c r="H16" s="26"/>
      <c r="J16" s="529" t="s">
        <v>311</v>
      </c>
      <c r="K16" s="530">
        <f>SUM(K9:K15)</f>
        <v>4406960</v>
      </c>
      <c r="L16" s="530">
        <f>SUM(L9:L15)</f>
        <v>0</v>
      </c>
      <c r="M16" s="606">
        <f>SUM(K16:L16)</f>
        <v>4406960</v>
      </c>
      <c r="P16" s="42"/>
    </row>
    <row r="17" spans="3:19" x14ac:dyDescent="0.3">
      <c r="D17" s="15" t="s">
        <v>295</v>
      </c>
      <c r="E17" s="389">
        <v>289015</v>
      </c>
      <c r="F17" s="390">
        <v>21572</v>
      </c>
      <c r="G17" s="922"/>
      <c r="H17" s="26"/>
      <c r="J17" s="528" t="s">
        <v>297</v>
      </c>
      <c r="K17" s="527">
        <f>K16-E36</f>
        <v>0</v>
      </c>
      <c r="P17" s="42"/>
    </row>
    <row r="18" spans="3:19" x14ac:dyDescent="0.3">
      <c r="D18" s="15" t="s">
        <v>295</v>
      </c>
      <c r="E18" s="389">
        <v>314147</v>
      </c>
      <c r="F18" s="390">
        <v>21573</v>
      </c>
      <c r="G18" s="922"/>
      <c r="H18" s="26"/>
      <c r="P18" s="454"/>
    </row>
    <row r="19" spans="3:19" x14ac:dyDescent="0.3">
      <c r="C19" s="116"/>
      <c r="D19" s="15" t="s">
        <v>295</v>
      </c>
      <c r="E19" s="389">
        <v>173279</v>
      </c>
      <c r="F19" s="390">
        <v>21578</v>
      </c>
      <c r="G19" s="922"/>
      <c r="H19" s="26"/>
      <c r="J19" s="12" t="s">
        <v>312</v>
      </c>
      <c r="K19" s="14">
        <f>B3</f>
        <v>4406959.59670767</v>
      </c>
      <c r="O19" s="42"/>
      <c r="P19" s="454"/>
    </row>
    <row r="20" spans="3:19" x14ac:dyDescent="0.3">
      <c r="C20" s="116"/>
      <c r="D20" s="15" t="s">
        <v>295</v>
      </c>
      <c r="E20" s="389">
        <v>188488</v>
      </c>
      <c r="F20" s="390">
        <v>21579</v>
      </c>
      <c r="G20" s="922"/>
      <c r="H20" s="26"/>
      <c r="J20" s="12" t="s">
        <v>313</v>
      </c>
      <c r="K20" s="842">
        <f>-L16</f>
        <v>0</v>
      </c>
      <c r="O20" s="42"/>
    </row>
    <row r="21" spans="3:19" x14ac:dyDescent="0.3">
      <c r="D21" s="15" t="s">
        <v>296</v>
      </c>
      <c r="E21" s="389">
        <v>408391</v>
      </c>
      <c r="F21" s="390">
        <v>21526</v>
      </c>
      <c r="G21" s="922"/>
      <c r="H21" s="26"/>
      <c r="O21" s="568"/>
    </row>
    <row r="22" spans="3:19" x14ac:dyDescent="0.3">
      <c r="D22" s="15" t="s">
        <v>296</v>
      </c>
      <c r="E22" s="389">
        <v>354107</v>
      </c>
      <c r="F22" s="389">
        <v>21527</v>
      </c>
      <c r="G22" s="922"/>
      <c r="H22" s="26"/>
      <c r="O22" s="568"/>
    </row>
    <row r="23" spans="3:19" ht="16.2" x14ac:dyDescent="0.35">
      <c r="D23" s="15" t="s">
        <v>296</v>
      </c>
      <c r="E23" s="389">
        <v>234832</v>
      </c>
      <c r="F23" s="389">
        <v>21528</v>
      </c>
      <c r="G23" s="922"/>
      <c r="H23" s="26"/>
      <c r="J23" s="924"/>
      <c r="O23" s="568"/>
    </row>
    <row r="24" spans="3:19" x14ac:dyDescent="0.3">
      <c r="D24" s="15" t="s">
        <v>296</v>
      </c>
      <c r="E24" s="389">
        <v>212363</v>
      </c>
      <c r="F24" s="389">
        <v>21567</v>
      </c>
      <c r="G24" s="922"/>
      <c r="H24" s="26"/>
      <c r="J24" s="17"/>
      <c r="O24" s="568"/>
    </row>
    <row r="25" spans="3:19" x14ac:dyDescent="0.3">
      <c r="D25" s="15" t="s">
        <v>296</v>
      </c>
      <c r="E25" s="389">
        <v>138224</v>
      </c>
      <c r="F25" s="389">
        <v>21568</v>
      </c>
      <c r="G25" s="922"/>
      <c r="H25" s="26"/>
      <c r="J25" s="17"/>
      <c r="O25" s="568"/>
    </row>
    <row r="26" spans="3:19" x14ac:dyDescent="0.3">
      <c r="D26" s="15" t="s">
        <v>296</v>
      </c>
      <c r="E26" s="389">
        <v>332996</v>
      </c>
      <c r="F26" s="389">
        <v>21569</v>
      </c>
      <c r="G26" s="922"/>
      <c r="H26" s="26"/>
      <c r="O26" s="568"/>
    </row>
    <row r="27" spans="3:19" ht="16.2" x14ac:dyDescent="0.35">
      <c r="D27" s="15" t="s">
        <v>296</v>
      </c>
      <c r="E27" s="389">
        <v>94244</v>
      </c>
      <c r="F27" s="389">
        <v>21571</v>
      </c>
      <c r="G27" s="922"/>
      <c r="H27" s="120"/>
      <c r="J27" s="924"/>
      <c r="O27" s="106"/>
    </row>
    <row r="28" spans="3:19" x14ac:dyDescent="0.3">
      <c r="D28" s="15" t="s">
        <v>296</v>
      </c>
      <c r="E28" s="389">
        <v>194771</v>
      </c>
      <c r="F28" s="389">
        <v>21574</v>
      </c>
      <c r="G28" s="922"/>
      <c r="H28" s="120"/>
      <c r="J28" s="17"/>
      <c r="O28" s="106"/>
      <c r="P28" s="537"/>
      <c r="Q28" s="537"/>
      <c r="R28" s="42"/>
      <c r="S28" s="42"/>
    </row>
    <row r="29" spans="3:19" x14ac:dyDescent="0.3">
      <c r="D29" s="15" t="s">
        <v>296</v>
      </c>
      <c r="E29" s="389">
        <v>389542</v>
      </c>
      <c r="F29" s="389">
        <v>21575</v>
      </c>
      <c r="G29" s="922"/>
      <c r="H29" s="120"/>
      <c r="J29" s="17"/>
      <c r="O29" s="106"/>
      <c r="P29" s="537"/>
      <c r="Q29" s="537"/>
      <c r="R29" s="42"/>
      <c r="S29" s="42"/>
    </row>
    <row r="30" spans="3:19" x14ac:dyDescent="0.3">
      <c r="D30" s="15" t="s">
        <v>296</v>
      </c>
      <c r="E30" s="389">
        <v>100527</v>
      </c>
      <c r="F30" s="389">
        <v>21576</v>
      </c>
      <c r="G30" s="922"/>
      <c r="H30" s="120"/>
      <c r="O30" s="106"/>
      <c r="P30" s="537"/>
      <c r="Q30" s="537"/>
      <c r="R30" s="42"/>
      <c r="S30" s="42"/>
    </row>
    <row r="31" spans="3:19" ht="16.2" thickBot="1" x14ac:dyDescent="0.35">
      <c r="D31" s="15" t="s">
        <v>296</v>
      </c>
      <c r="E31" s="389">
        <v>245035</v>
      </c>
      <c r="F31" s="390">
        <v>21577</v>
      </c>
      <c r="G31" s="922"/>
      <c r="H31" s="120"/>
      <c r="O31" s="106"/>
      <c r="P31" s="537"/>
      <c r="Q31" s="537"/>
      <c r="R31" s="42"/>
      <c r="S31" s="42"/>
    </row>
    <row r="32" spans="3:19" ht="16.2" thickBot="1" x14ac:dyDescent="0.35">
      <c r="D32" s="196" t="s">
        <v>260</v>
      </c>
      <c r="E32" s="646">
        <f>SUM(E14:E31)</f>
        <v>4072069</v>
      </c>
      <c r="F32" s="395"/>
      <c r="G32" s="5"/>
      <c r="H32" s="3"/>
      <c r="I32" s="3"/>
      <c r="J32" s="3"/>
      <c r="K32" s="3"/>
      <c r="L32" s="3"/>
      <c r="P32" s="541"/>
      <c r="Q32" s="42"/>
      <c r="R32" s="42"/>
      <c r="S32" s="42"/>
    </row>
    <row r="33" spans="1:19" x14ac:dyDescent="0.3">
      <c r="D33" s="647" t="s">
        <v>297</v>
      </c>
      <c r="E33" s="648">
        <f>E32-B5</f>
        <v>0.4032923299819231</v>
      </c>
      <c r="F33" s="395"/>
      <c r="G33" s="5"/>
      <c r="H33" s="3"/>
      <c r="I33" s="3"/>
      <c r="J33" s="3"/>
      <c r="K33" s="3"/>
      <c r="L33" s="3"/>
      <c r="P33" s="541"/>
      <c r="Q33" s="42"/>
      <c r="R33" s="42"/>
      <c r="S33" s="42"/>
    </row>
    <row r="34" spans="1:19" x14ac:dyDescent="0.3">
      <c r="I34" s="3"/>
      <c r="J34" s="3"/>
      <c r="K34" s="3"/>
      <c r="L34" s="3"/>
      <c r="N34" s="42"/>
      <c r="O34" s="42"/>
      <c r="P34" s="541"/>
      <c r="Q34" s="147"/>
      <c r="R34" s="542"/>
      <c r="S34" s="147"/>
    </row>
    <row r="35" spans="1:19" ht="16.2" thickBot="1" x14ac:dyDescent="0.35">
      <c r="I35" s="3"/>
      <c r="J35" s="3"/>
      <c r="K35" s="3"/>
      <c r="L35" s="3"/>
      <c r="N35" s="43"/>
      <c r="O35" s="147"/>
      <c r="P35" s="541"/>
      <c r="Q35" s="42"/>
      <c r="R35" s="543"/>
      <c r="S35" s="42"/>
    </row>
    <row r="36" spans="1:19" ht="16.2" thickBot="1" x14ac:dyDescent="0.35">
      <c r="D36" s="15" t="s">
        <v>264</v>
      </c>
      <c r="E36" s="397">
        <f>E32+E11</f>
        <v>4406960</v>
      </c>
      <c r="F36" s="455"/>
      <c r="N36" s="43"/>
      <c r="O36" s="147"/>
      <c r="P36" s="42"/>
      <c r="Q36" s="42"/>
      <c r="R36" s="42"/>
      <c r="S36" s="42"/>
    </row>
    <row r="37" spans="1:19" x14ac:dyDescent="0.3">
      <c r="D37" s="647" t="s">
        <v>297</v>
      </c>
      <c r="E37" s="648">
        <f>E36-B3</f>
        <v>0.4032923299819231</v>
      </c>
      <c r="I37" s="219"/>
      <c r="J37" s="219"/>
      <c r="K37" s="219"/>
      <c r="L37" s="219"/>
      <c r="N37" s="43"/>
      <c r="O37" s="147"/>
      <c r="P37" s="42"/>
      <c r="Q37" s="538"/>
      <c r="R37" s="48"/>
      <c r="S37" s="42"/>
    </row>
    <row r="38" spans="1:19" x14ac:dyDescent="0.3">
      <c r="N38" s="43"/>
      <c r="O38" s="147"/>
      <c r="P38" s="42"/>
      <c r="Q38" s="540"/>
      <c r="R38" s="48"/>
      <c r="S38" s="42"/>
    </row>
    <row r="39" spans="1:19" ht="16.2" x14ac:dyDescent="0.35">
      <c r="A39" s="924"/>
      <c r="N39" s="106"/>
      <c r="O39" s="147"/>
    </row>
    <row r="40" spans="1:19" x14ac:dyDescent="0.3">
      <c r="A40" s="17"/>
      <c r="N40" s="42"/>
      <c r="O40" s="147"/>
    </row>
    <row r="41" spans="1:19" x14ac:dyDescent="0.3">
      <c r="A41" s="17"/>
      <c r="N41" s="42"/>
      <c r="O41" s="538"/>
    </row>
    <row r="42" spans="1:19" x14ac:dyDescent="0.3">
      <c r="N42" s="42"/>
      <c r="O42" s="539"/>
    </row>
    <row r="45" spans="1:19" x14ac:dyDescent="0.3">
      <c r="D45" s="43"/>
      <c r="E45" s="396"/>
    </row>
    <row r="46" spans="1:19" x14ac:dyDescent="0.3">
      <c r="D46" s="43"/>
      <c r="E46" s="396"/>
    </row>
    <row r="47" spans="1:19" x14ac:dyDescent="0.3">
      <c r="D47" s="43"/>
      <c r="E47" s="396"/>
    </row>
    <row r="48" spans="1:19" x14ac:dyDescent="0.3">
      <c r="D48" s="42"/>
      <c r="E48" s="42"/>
    </row>
    <row r="49" spans="4:5" x14ac:dyDescent="0.3">
      <c r="D49" s="106"/>
      <c r="E49" s="454"/>
    </row>
    <row r="50" spans="4:5" x14ac:dyDescent="0.3">
      <c r="D50" s="106"/>
      <c r="E50" s="454"/>
    </row>
    <row r="51" spans="4:5" x14ac:dyDescent="0.3">
      <c r="D51" s="42"/>
      <c r="E51" s="455"/>
    </row>
  </sheetData>
  <mergeCells count="1">
    <mergeCell ref="J7:M7"/>
  </mergeCells>
  <phoneticPr fontId="120" type="noConversion"/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&amp;R&amp;Z&amp;F
List: &amp;A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50"/>
  <sheetViews>
    <sheetView topLeftCell="A11" workbookViewId="0">
      <selection sqref="A1:I37"/>
    </sheetView>
  </sheetViews>
  <sheetFormatPr defaultColWidth="9.109375" defaultRowHeight="13.2" x14ac:dyDescent="0.25"/>
  <cols>
    <col min="1" max="1" width="38.109375" style="40" customWidth="1"/>
    <col min="2" max="2" width="19.5546875" style="40" customWidth="1"/>
    <col min="3" max="3" width="19" style="40" customWidth="1"/>
    <col min="4" max="4" width="19.6640625" style="40" customWidth="1"/>
    <col min="5" max="5" width="19" style="40" customWidth="1"/>
    <col min="6" max="6" width="18.6640625" style="40" customWidth="1"/>
    <col min="7" max="7" width="5.44140625" style="40" customWidth="1"/>
    <col min="8" max="8" width="18.5546875" style="40" customWidth="1"/>
    <col min="9" max="9" width="23.109375" style="40" customWidth="1"/>
    <col min="10" max="11" width="13.109375" style="40" bestFit="1" customWidth="1"/>
    <col min="12" max="12" width="12.88671875" style="40" customWidth="1"/>
    <col min="13" max="13" width="13" style="40" customWidth="1"/>
    <col min="14" max="14" width="14.33203125" style="40" customWidth="1"/>
    <col min="15" max="16384" width="9.109375" style="40"/>
  </cols>
  <sheetData>
    <row r="1" spans="1:9" ht="17.399999999999999" x14ac:dyDescent="0.3">
      <c r="A1" s="8" t="s">
        <v>947</v>
      </c>
      <c r="B1" s="49"/>
    </row>
    <row r="2" spans="1:9" ht="9" customHeight="1" x14ac:dyDescent="0.3">
      <c r="B2" s="49"/>
    </row>
    <row r="3" spans="1:9" ht="41.25" customHeight="1" thickBot="1" x14ac:dyDescent="0.35">
      <c r="B3" s="15" t="s">
        <v>950</v>
      </c>
      <c r="C3" s="297" t="s">
        <v>255</v>
      </c>
      <c r="D3" s="297" t="s">
        <v>221</v>
      </c>
    </row>
    <row r="4" spans="1:9" ht="18" thickBot="1" x14ac:dyDescent="0.35">
      <c r="A4" s="12" t="s">
        <v>102</v>
      </c>
      <c r="B4" s="292">
        <f>'0_PRIDEL'!H21</f>
        <v>22140022.062487867</v>
      </c>
      <c r="C4" s="298">
        <f>'0_PRIDEL'!H19</f>
        <v>22264176.136511177</v>
      </c>
      <c r="D4" s="311">
        <f>'0_PRIDEL'!H20</f>
        <v>-124154.07402331001</v>
      </c>
    </row>
    <row r="5" spans="1:9" ht="16.8" x14ac:dyDescent="0.3">
      <c r="B5" s="49"/>
      <c r="I5" s="815"/>
    </row>
    <row r="6" spans="1:9" ht="16.2" thickBot="1" x14ac:dyDescent="0.35">
      <c r="B6" s="39" t="s">
        <v>100</v>
      </c>
      <c r="C6" s="39" t="s">
        <v>3</v>
      </c>
      <c r="D6" s="39" t="s">
        <v>2</v>
      </c>
      <c r="E6" s="39" t="s">
        <v>1</v>
      </c>
      <c r="F6" s="1"/>
    </row>
    <row r="7" spans="1:9" ht="17.399999999999999" thickBot="1" x14ac:dyDescent="0.35">
      <c r="A7" s="335" t="s">
        <v>245</v>
      </c>
      <c r="B7" s="62">
        <f>5105302.29+1108672.27</f>
        <v>6213974.5600000005</v>
      </c>
      <c r="C7" s="62">
        <f>2017492.17+734694.78+5015.38</f>
        <v>2757202.33</v>
      </c>
      <c r="D7" s="62">
        <f>6630302.87+2262872.12</f>
        <v>8893174.9900000002</v>
      </c>
      <c r="E7" s="295">
        <f>3862665.59+890108.29</f>
        <v>4752773.88</v>
      </c>
      <c r="F7" s="298">
        <f>SUM(B7:E7)</f>
        <v>22617125.760000002</v>
      </c>
      <c r="G7" s="40" t="s">
        <v>539</v>
      </c>
    </row>
    <row r="8" spans="1:9" ht="15.6" x14ac:dyDescent="0.3">
      <c r="A8" s="306" t="s">
        <v>223</v>
      </c>
      <c r="B8" s="517">
        <v>448145.38</v>
      </c>
      <c r="C8" s="194"/>
      <c r="D8" s="194"/>
      <c r="E8" s="194"/>
      <c r="F8" s="296">
        <f>SUM(B8:E8)</f>
        <v>448145.38</v>
      </c>
      <c r="G8" s="519"/>
    </row>
    <row r="9" spans="1:9" ht="15.6" x14ac:dyDescent="0.3">
      <c r="A9" s="307" t="s">
        <v>272</v>
      </c>
      <c r="B9" s="424">
        <v>5804.65</v>
      </c>
      <c r="F9" s="62">
        <f>SUM(B9:E9)</f>
        <v>5804.65</v>
      </c>
      <c r="G9" s="519"/>
    </row>
    <row r="10" spans="1:9" ht="15.6" x14ac:dyDescent="0.3">
      <c r="A10" s="336" t="s">
        <v>224</v>
      </c>
      <c r="B10" s="518">
        <v>4657156.91</v>
      </c>
      <c r="C10" s="337"/>
      <c r="D10" s="337"/>
      <c r="E10" s="338"/>
      <c r="F10" s="62">
        <f t="shared" ref="F10:F20" si="0">SUM(B10:E10)</f>
        <v>4657156.91</v>
      </c>
      <c r="G10" s="519"/>
    </row>
    <row r="11" spans="1:9" ht="15.6" x14ac:dyDescent="0.3">
      <c r="A11" s="308" t="s">
        <v>219</v>
      </c>
      <c r="B11" s="293">
        <f>SUM(B8:B10)</f>
        <v>5111106.9400000004</v>
      </c>
      <c r="C11" s="293"/>
      <c r="D11" s="293"/>
      <c r="E11" s="294"/>
      <c r="F11" s="62">
        <f t="shared" si="0"/>
        <v>5111106.9400000004</v>
      </c>
      <c r="G11" s="519"/>
    </row>
    <row r="12" spans="1:9" ht="15.6" x14ac:dyDescent="0.3">
      <c r="A12" s="959" t="s">
        <v>218</v>
      </c>
      <c r="B12" s="194"/>
      <c r="C12" s="385">
        <v>941</v>
      </c>
      <c r="D12" s="385">
        <v>2128</v>
      </c>
      <c r="E12" s="385">
        <v>1272</v>
      </c>
      <c r="F12" s="62">
        <f>SUM(B12:E12)</f>
        <v>4341</v>
      </c>
      <c r="G12" s="519"/>
    </row>
    <row r="13" spans="1:9" ht="15.6" x14ac:dyDescent="0.3">
      <c r="A13" s="308" t="s">
        <v>220</v>
      </c>
      <c r="B13" s="293">
        <f>B12/$F$12*$B$11</f>
        <v>0</v>
      </c>
      <c r="C13" s="293">
        <f>C12/$F$12*$B$11</f>
        <v>1107936.3350702606</v>
      </c>
      <c r="D13" s="293">
        <f>D12/$F$12*$B$11</f>
        <v>2505513.8374383785</v>
      </c>
      <c r="E13" s="294">
        <f>E12/$F$12*$B$11</f>
        <v>1497656.7674913614</v>
      </c>
      <c r="F13" s="62">
        <f t="shared" si="0"/>
        <v>5111106.9400000004</v>
      </c>
    </row>
    <row r="14" spans="1:9" ht="15.6" x14ac:dyDescent="0.3">
      <c r="A14" s="55"/>
      <c r="B14" s="194"/>
      <c r="C14" s="194"/>
      <c r="D14" s="194"/>
      <c r="E14" s="194"/>
      <c r="F14" s="95"/>
    </row>
    <row r="15" spans="1:9" ht="15.6" x14ac:dyDescent="0.3">
      <c r="A15" s="309" t="s">
        <v>222</v>
      </c>
      <c r="B15" s="386">
        <v>1092908.83</v>
      </c>
      <c r="C15" s="303"/>
      <c r="D15" s="303"/>
      <c r="E15" s="304"/>
      <c r="F15" s="62">
        <f t="shared" si="0"/>
        <v>1092908.83</v>
      </c>
      <c r="G15" s="521"/>
    </row>
    <row r="16" spans="1:9" ht="15.6" x14ac:dyDescent="0.3">
      <c r="A16" s="308" t="s">
        <v>225</v>
      </c>
      <c r="B16" s="293">
        <f>B15</f>
        <v>1092908.83</v>
      </c>
      <c r="C16" s="299"/>
      <c r="D16" s="299"/>
      <c r="E16" s="305"/>
      <c r="F16" s="62">
        <f t="shared" si="0"/>
        <v>1092908.83</v>
      </c>
    </row>
    <row r="17" spans="1:9" ht="15.6" x14ac:dyDescent="0.3">
      <c r="A17" s="310" t="s">
        <v>273</v>
      </c>
      <c r="B17" s="520">
        <v>5.8</v>
      </c>
      <c r="C17" s="387">
        <v>18.2</v>
      </c>
      <c r="D17" s="520">
        <v>43.39</v>
      </c>
      <c r="E17" s="387">
        <v>33.979999999999997</v>
      </c>
      <c r="F17" s="351">
        <f t="shared" si="0"/>
        <v>101.37</v>
      </c>
      <c r="G17" s="522"/>
    </row>
    <row r="18" spans="1:9" ht="16.2" thickBot="1" x14ac:dyDescent="0.35">
      <c r="A18" s="308" t="s">
        <v>226</v>
      </c>
      <c r="B18" s="288">
        <f>$B$16*B17/$F$17</f>
        <v>62532.023419157544</v>
      </c>
      <c r="C18" s="288">
        <f>$B$16*C17/$F$17</f>
        <v>196221.1769359771</v>
      </c>
      <c r="D18" s="288">
        <f>$B$16*D17/$F$17</f>
        <v>467804.2234753872</v>
      </c>
      <c r="E18" s="288">
        <f>$B$16*E17/$F$17</f>
        <v>366351.40616947808</v>
      </c>
      <c r="F18" s="300">
        <f t="shared" si="0"/>
        <v>1092908.83</v>
      </c>
    </row>
    <row r="19" spans="1:9" ht="17.399999999999999" thickBot="1" x14ac:dyDescent="0.35">
      <c r="A19" s="40" t="s">
        <v>511</v>
      </c>
      <c r="B19" s="301">
        <f>B7-B11-B16+B18</f>
        <v>72490.813419157581</v>
      </c>
      <c r="C19" s="302">
        <f>C7+C13+C18</f>
        <v>4061359.8420062382</v>
      </c>
      <c r="D19" s="302">
        <f>D7+D13+D18</f>
        <v>11866493.050913766</v>
      </c>
      <c r="E19" s="302">
        <f>E7+E13+E18</f>
        <v>6616782.0536608389</v>
      </c>
      <c r="F19" s="298">
        <f>SUM(B19:E19)</f>
        <v>22617125.760000002</v>
      </c>
      <c r="G19" s="40" t="s">
        <v>515</v>
      </c>
      <c r="I19" s="815"/>
    </row>
    <row r="20" spans="1:9" ht="17.399999999999999" thickBot="1" x14ac:dyDescent="0.35">
      <c r="A20" s="350" t="s">
        <v>254</v>
      </c>
      <c r="B20" s="355">
        <f>B19/$F$19</f>
        <v>3.2051293426224275E-3</v>
      </c>
      <c r="C20" s="355">
        <f>C19/$F$19</f>
        <v>0.17957011359900746</v>
      </c>
      <c r="D20" s="355">
        <f>D19/$F$19</f>
        <v>0.52466848249570708</v>
      </c>
      <c r="E20" s="355">
        <f>E19/$F$19</f>
        <v>0.29255627456266303</v>
      </c>
      <c r="F20" s="356">
        <f t="shared" si="0"/>
        <v>1</v>
      </c>
    </row>
    <row r="21" spans="1:9" ht="17.399999999999999" thickBot="1" x14ac:dyDescent="0.35">
      <c r="A21" s="961" t="s">
        <v>221</v>
      </c>
      <c r="B21" s="354">
        <f>B20*$F$21</f>
        <v>-397.92986565822781</v>
      </c>
      <c r="C21" s="354">
        <f>C20*$F$21</f>
        <v>-22294.361176145358</v>
      </c>
      <c r="D21" s="354">
        <f>D20*$F$21</f>
        <v>-65139.729613469746</v>
      </c>
      <c r="E21" s="354">
        <f>E20*$F$21</f>
        <v>-36322.053368036672</v>
      </c>
      <c r="F21" s="353">
        <f>D4</f>
        <v>-124154.07402331001</v>
      </c>
      <c r="G21" s="40" t="s">
        <v>516</v>
      </c>
    </row>
    <row r="22" spans="1:9" ht="18" thickBot="1" x14ac:dyDescent="0.35">
      <c r="A22" s="242" t="s">
        <v>512</v>
      </c>
      <c r="B22" s="312">
        <f>B19+B21</f>
        <v>72092.883553499356</v>
      </c>
      <c r="C22" s="312">
        <f>C19+C21</f>
        <v>4039065.4808300929</v>
      </c>
      <c r="D22" s="312">
        <f>D19+D21</f>
        <v>11801353.321300296</v>
      </c>
      <c r="E22" s="312">
        <f>E19+E21</f>
        <v>6580460.0002928022</v>
      </c>
      <c r="F22" s="812">
        <f>SUM(B22:E22)</f>
        <v>22492971.685976692</v>
      </c>
    </row>
    <row r="23" spans="1:9" ht="17.399999999999999" x14ac:dyDescent="0.3">
      <c r="A23" s="808" t="s">
        <v>524</v>
      </c>
      <c r="B23" s="807">
        <f>$F$23*B24</f>
        <v>2957.3974373231022</v>
      </c>
      <c r="C23" s="807">
        <f t="shared" ref="C23:E23" si="1">$F$23*C24</f>
        <v>165690.72165524875</v>
      </c>
      <c r="D23" s="807">
        <f t="shared" si="1"/>
        <v>484115.63456825953</v>
      </c>
      <c r="E23" s="807">
        <f t="shared" si="1"/>
        <v>269943.91931668669</v>
      </c>
      <c r="F23" s="809">
        <v>922707.67297751806</v>
      </c>
      <c r="G23" s="40" t="s">
        <v>951</v>
      </c>
    </row>
    <row r="24" spans="1:9" ht="16.8" x14ac:dyDescent="0.3">
      <c r="A24" s="350" t="s">
        <v>513</v>
      </c>
      <c r="B24" s="865">
        <f>B20</f>
        <v>3.2051293426224275E-3</v>
      </c>
      <c r="C24" s="865">
        <f t="shared" ref="C24:E24" si="2">C20</f>
        <v>0.17957011359900746</v>
      </c>
      <c r="D24" s="865">
        <f t="shared" si="2"/>
        <v>0.52466848249570708</v>
      </c>
      <c r="E24" s="865">
        <f t="shared" si="2"/>
        <v>0.29255627456266303</v>
      </c>
      <c r="F24" s="864">
        <f>SUM(B24:E24)</f>
        <v>1</v>
      </c>
    </row>
    <row r="25" spans="1:9" ht="17.399999999999999" x14ac:dyDescent="0.3">
      <c r="A25" s="993" t="s">
        <v>1002</v>
      </c>
      <c r="B25" s="992">
        <f>B26*$F$25</f>
        <v>-4088.6466208525421</v>
      </c>
      <c r="C25" s="992">
        <f>C26*$F$25</f>
        <v>-229069.9250133755</v>
      </c>
      <c r="D25" s="992">
        <f>D26*$F$25</f>
        <v>-669297.17609109671</v>
      </c>
      <c r="E25" s="992">
        <f>E26*$F$25</f>
        <v>-373201.54525219463</v>
      </c>
      <c r="F25" s="991">
        <f>-(F19+F23-22264176.14)</f>
        <v>-1275657.2929775193</v>
      </c>
      <c r="G25" s="40" t="s">
        <v>952</v>
      </c>
    </row>
    <row r="26" spans="1:9" ht="17.399999999999999" thickBot="1" x14ac:dyDescent="0.35">
      <c r="A26" s="350"/>
      <c r="B26" s="865">
        <f>B20</f>
        <v>3.2051293426224275E-3</v>
      </c>
      <c r="C26" s="865">
        <f>C20</f>
        <v>0.17957011359900746</v>
      </c>
      <c r="D26" s="865">
        <f>D20</f>
        <v>0.52466848249570708</v>
      </c>
      <c r="E26" s="865">
        <f>E20</f>
        <v>0.29255627456266303</v>
      </c>
      <c r="F26" s="990">
        <f>SUM(B26:E26)</f>
        <v>1</v>
      </c>
    </row>
    <row r="27" spans="1:9" ht="18" thickBot="1" x14ac:dyDescent="0.35">
      <c r="A27" s="242" t="s">
        <v>514</v>
      </c>
      <c r="B27" s="810">
        <f>B19+B21+B23+B25</f>
        <v>70961.634369969921</v>
      </c>
      <c r="C27" s="810">
        <f t="shared" ref="C27:E27" si="3">C19+C21+C23+C25</f>
        <v>3975686.2774719661</v>
      </c>
      <c r="D27" s="810">
        <f t="shared" si="3"/>
        <v>11616171.779777458</v>
      </c>
      <c r="E27" s="810">
        <f t="shared" si="3"/>
        <v>6477202.3743572943</v>
      </c>
      <c r="F27" s="811">
        <f>SUM(B27:E27)</f>
        <v>22140022.065976687</v>
      </c>
    </row>
    <row r="28" spans="1:9" ht="17.399999999999999" x14ac:dyDescent="0.3">
      <c r="A28" s="242"/>
      <c r="B28" s="805"/>
      <c r="C28" s="805"/>
      <c r="D28" s="805"/>
      <c r="E28" s="805"/>
      <c r="F28" s="813"/>
    </row>
    <row r="29" spans="1:9" ht="17.399999999999999" x14ac:dyDescent="0.3">
      <c r="A29" s="242"/>
      <c r="B29" s="805"/>
      <c r="C29" s="805"/>
      <c r="D29" s="805"/>
      <c r="E29" s="805"/>
      <c r="F29" s="806"/>
    </row>
    <row r="30" spans="1:9" ht="17.399999999999999" x14ac:dyDescent="0.3">
      <c r="A30" s="242"/>
      <c r="B30" s="805"/>
      <c r="C30" s="805"/>
      <c r="D30" s="805"/>
      <c r="E30" s="805"/>
      <c r="F30" s="806"/>
    </row>
    <row r="31" spans="1:9" ht="16.8" x14ac:dyDescent="0.3">
      <c r="B31" s="49"/>
    </row>
    <row r="32" spans="1:9" ht="66.75" customHeight="1" x14ac:dyDescent="0.3">
      <c r="C32" s="1"/>
      <c r="D32" s="343"/>
      <c r="E32" s="343"/>
      <c r="F32" s="776" t="s">
        <v>526</v>
      </c>
      <c r="H32" s="776" t="s">
        <v>464</v>
      </c>
      <c r="I32" s="777" t="s">
        <v>465</v>
      </c>
    </row>
    <row r="33" spans="1:9" ht="16.8" x14ac:dyDescent="0.3">
      <c r="A33" s="12"/>
      <c r="D33" s="343"/>
      <c r="E33" s="4" t="s">
        <v>3</v>
      </c>
      <c r="F33" s="289">
        <f>CEILING(C27,1)-1</f>
        <v>3975686</v>
      </c>
      <c r="H33" s="289">
        <v>0</v>
      </c>
      <c r="I33" s="289">
        <f t="shared" ref="I33:I35" si="4">F33+H33</f>
        <v>3975686</v>
      </c>
    </row>
    <row r="34" spans="1:9" ht="15.6" x14ac:dyDescent="0.3">
      <c r="A34" s="12"/>
      <c r="D34" s="342"/>
      <c r="E34" s="37" t="s">
        <v>2</v>
      </c>
      <c r="F34" s="289">
        <f>CEILING(D27,1)-1</f>
        <v>11616171</v>
      </c>
      <c r="H34" s="289">
        <v>0</v>
      </c>
      <c r="I34" s="289">
        <f t="shared" si="4"/>
        <v>11616171</v>
      </c>
    </row>
    <row r="35" spans="1:9" ht="16.8" x14ac:dyDescent="0.3">
      <c r="D35" s="343"/>
      <c r="E35" s="4" t="s">
        <v>1</v>
      </c>
      <c r="F35" s="289">
        <f>CEILING(E27,1)-1</f>
        <v>6477202</v>
      </c>
      <c r="H35" s="289">
        <v>0</v>
      </c>
      <c r="I35" s="289">
        <f t="shared" si="4"/>
        <v>6477202</v>
      </c>
    </row>
    <row r="36" spans="1:9" ht="17.399999999999999" thickBot="1" x14ac:dyDescent="0.35">
      <c r="D36" s="343"/>
      <c r="E36" s="37" t="s">
        <v>9</v>
      </c>
      <c r="F36" s="289">
        <f>CEILING(B27,1)+1</f>
        <v>70963</v>
      </c>
      <c r="H36" s="289">
        <f>'0_PRIDEL'!H22</f>
        <v>25000</v>
      </c>
      <c r="I36" s="289">
        <f>F36+H36</f>
        <v>95963</v>
      </c>
    </row>
    <row r="37" spans="1:9" ht="18" thickBot="1" x14ac:dyDescent="0.35">
      <c r="C37" s="32"/>
      <c r="D37" s="342"/>
      <c r="E37" s="342"/>
      <c r="F37" s="292">
        <f>SUM(F33:F36)</f>
        <v>22140022</v>
      </c>
      <c r="H37" s="292">
        <f>SUM(H33:H36)</f>
        <v>25000</v>
      </c>
      <c r="I37" s="292">
        <f>SUM(I33:I36)</f>
        <v>22165022</v>
      </c>
    </row>
    <row r="38" spans="1:9" ht="16.8" x14ac:dyDescent="0.3">
      <c r="B38" s="49"/>
      <c r="D38" s="343"/>
      <c r="E38" s="343"/>
      <c r="F38" s="632">
        <v>22140022</v>
      </c>
    </row>
    <row r="39" spans="1:9" ht="15.6" x14ac:dyDescent="0.3">
      <c r="A39" s="339"/>
      <c r="B39" s="48"/>
      <c r="C39" s="48"/>
      <c r="D39" s="28"/>
      <c r="E39" s="28"/>
      <c r="F39" s="384">
        <f>F38-F37</f>
        <v>0</v>
      </c>
      <c r="G39" s="339"/>
    </row>
    <row r="40" spans="1:9" s="1" customFormat="1" ht="15.6" x14ac:dyDescent="0.3">
      <c r="A40" s="335"/>
      <c r="B40" s="28"/>
      <c r="C40" s="28"/>
      <c r="D40" s="28"/>
      <c r="E40" s="28"/>
      <c r="F40" s="341"/>
      <c r="G40" s="340"/>
    </row>
    <row r="41" spans="1:9" s="1" customFormat="1" ht="15.6" x14ac:dyDescent="0.3">
      <c r="A41" s="340"/>
      <c r="B41" s="28"/>
      <c r="C41" s="28"/>
      <c r="D41" s="28"/>
      <c r="E41" s="28"/>
      <c r="F41" s="843"/>
      <c r="G41" s="340"/>
      <c r="I41" s="3"/>
    </row>
    <row r="42" spans="1:9" s="1" customFormat="1" ht="16.8" x14ac:dyDescent="0.3">
      <c r="A42" s="340"/>
      <c r="B42" s="28"/>
      <c r="C42" s="28"/>
      <c r="D42" s="28"/>
      <c r="E42" s="28"/>
      <c r="F42" s="343"/>
      <c r="G42" s="340"/>
    </row>
    <row r="43" spans="1:9" s="1" customFormat="1" ht="15.6" x14ac:dyDescent="0.3">
      <c r="A43" s="761"/>
      <c r="B43" s="28"/>
      <c r="C43" s="28"/>
      <c r="D43" s="28"/>
      <c r="E43" s="28"/>
      <c r="F43" s="340"/>
      <c r="G43" s="344"/>
      <c r="H43" s="3"/>
    </row>
    <row r="44" spans="1:9" s="1" customFormat="1" ht="17.399999999999999" x14ac:dyDescent="0.3">
      <c r="A44" s="340"/>
      <c r="B44" s="28"/>
      <c r="C44" s="28"/>
      <c r="D44" s="28"/>
      <c r="E44" s="28"/>
      <c r="F44" s="345"/>
      <c r="G44" s="340"/>
    </row>
    <row r="45" spans="1:9" s="1" customFormat="1" ht="15.6" x14ac:dyDescent="0.3">
      <c r="A45" s="53"/>
      <c r="B45" s="28"/>
      <c r="C45" s="28"/>
      <c r="D45" s="28"/>
      <c r="E45" s="28"/>
      <c r="F45" s="340"/>
      <c r="G45" s="340"/>
    </row>
    <row r="46" spans="1:9" ht="15.6" x14ac:dyDescent="0.3">
      <c r="A46" s="761"/>
      <c r="B46" s="28"/>
      <c r="C46" s="28"/>
      <c r="D46" s="28"/>
      <c r="E46" s="28"/>
    </row>
    <row r="47" spans="1:9" ht="15.6" x14ac:dyDescent="0.3">
      <c r="A47" s="80"/>
      <c r="B47" s="28"/>
      <c r="C47" s="28"/>
      <c r="D47" s="28"/>
      <c r="E47" s="28"/>
    </row>
    <row r="48" spans="1:9" ht="15.6" x14ac:dyDescent="0.3">
      <c r="A48" s="80"/>
      <c r="B48" s="28"/>
      <c r="C48" s="28"/>
      <c r="D48" s="28"/>
      <c r="E48" s="28"/>
    </row>
    <row r="49" spans="1:5" ht="15.6" x14ac:dyDescent="0.3">
      <c r="A49" s="761"/>
      <c r="B49" s="28"/>
      <c r="C49" s="28"/>
      <c r="D49" s="28"/>
      <c r="E49" s="28"/>
    </row>
    <row r="50" spans="1:5" ht="15.6" x14ac:dyDescent="0.3">
      <c r="B50" s="28"/>
      <c r="C50" s="28"/>
      <c r="D50" s="28"/>
      <c r="E50" s="28"/>
    </row>
  </sheetData>
  <printOptions horizontalCentered="1" gridLines="1"/>
  <pageMargins left="0" right="0" top="0.78740157480314965" bottom="0" header="0.39370078740157483" footer="0.31496062992125984"/>
  <pageSetup paperSize="9" scale="82" orientation="landscape" r:id="rId1"/>
  <headerFooter>
    <oddHeader>&amp;R&amp;Z&amp;F
List: &amp;A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  <pageSetUpPr fitToPage="1"/>
  </sheetPr>
  <dimension ref="A1:X61"/>
  <sheetViews>
    <sheetView zoomScaleNormal="100" workbookViewId="0">
      <selection activeCell="G33" sqref="G33"/>
    </sheetView>
  </sheetViews>
  <sheetFormatPr defaultColWidth="9.109375" defaultRowHeight="15.6" x14ac:dyDescent="0.3"/>
  <cols>
    <col min="1" max="1" width="17.44140625" style="1" customWidth="1"/>
    <col min="2" max="2" width="31.33203125" style="1" customWidth="1"/>
    <col min="3" max="3" width="21" style="1" customWidth="1"/>
    <col min="4" max="4" width="16.6640625" style="1" customWidth="1"/>
    <col min="5" max="5" width="20.33203125" style="1" customWidth="1"/>
    <col min="6" max="6" width="17.109375" style="1" customWidth="1"/>
    <col min="7" max="7" width="15" style="1" customWidth="1"/>
    <col min="8" max="8" width="11.44140625" style="1" customWidth="1"/>
    <col min="9" max="9" width="16.33203125" style="1" customWidth="1"/>
    <col min="10" max="10" width="18.109375" style="1" customWidth="1"/>
    <col min="11" max="11" width="12.6640625" style="1" bestFit="1" customWidth="1"/>
    <col min="12" max="12" width="12.44140625" style="1" bestFit="1" customWidth="1"/>
    <col min="13" max="13" width="13.33203125" style="1" customWidth="1"/>
    <col min="14" max="14" width="15.6640625" style="1" customWidth="1"/>
    <col min="15" max="15" width="4.109375" style="1" customWidth="1"/>
    <col min="16" max="16" width="11" style="1" customWidth="1"/>
    <col min="17" max="17" width="3.6640625" style="1" customWidth="1"/>
    <col min="18" max="18" width="18.33203125" style="1" bestFit="1" customWidth="1"/>
    <col min="19" max="19" width="8" style="1" bestFit="1" customWidth="1"/>
    <col min="20" max="20" width="7.88671875" style="1" bestFit="1" customWidth="1"/>
    <col min="21" max="21" width="18.33203125" style="1" bestFit="1" customWidth="1"/>
    <col min="22" max="23" width="5.109375" style="1" bestFit="1" customWidth="1"/>
    <col min="24" max="24" width="16.44140625" style="1" bestFit="1" customWidth="1"/>
    <col min="25" max="16384" width="9.109375" style="1"/>
  </cols>
  <sheetData>
    <row r="1" spans="1:24" ht="18" x14ac:dyDescent="0.35">
      <c r="A1" s="8" t="s">
        <v>968</v>
      </c>
    </row>
    <row r="2" spans="1:24" ht="17.399999999999999" x14ac:dyDescent="0.3">
      <c r="A2" s="8"/>
    </row>
    <row r="3" spans="1:24" ht="18" thickBot="1" x14ac:dyDescent="0.35">
      <c r="A3" s="8"/>
      <c r="B3" s="649" t="s">
        <v>865</v>
      </c>
      <c r="D3" s="650">
        <f>'0_PRIDEL'!B20</f>
        <v>21332320.750285693</v>
      </c>
      <c r="E3" s="402" t="s">
        <v>867</v>
      </c>
    </row>
    <row r="4" spans="1:24" ht="16.2" thickBot="1" x14ac:dyDescent="0.35">
      <c r="B4" s="115" t="s">
        <v>881</v>
      </c>
      <c r="C4" s="14">
        <f>C15+C16</f>
        <v>357000</v>
      </c>
      <c r="D4" s="327">
        <f>D3-C4</f>
        <v>20975320.750285693</v>
      </c>
      <c r="E4" s="930" t="s">
        <v>866</v>
      </c>
    </row>
    <row r="5" spans="1:24" ht="16.2" thickBot="1" x14ac:dyDescent="0.35">
      <c r="B5" s="115" t="s">
        <v>882</v>
      </c>
      <c r="C5" s="14">
        <f>C24</f>
        <v>0</v>
      </c>
      <c r="D5" s="327">
        <f>D4-0</f>
        <v>20975320.750285693</v>
      </c>
      <c r="E5" s="930" t="s">
        <v>888</v>
      </c>
    </row>
    <row r="6" spans="1:24" ht="16.2" thickBot="1" x14ac:dyDescent="0.35">
      <c r="B6" s="115" t="s">
        <v>345</v>
      </c>
      <c r="C6" s="14">
        <f>'4_DOC_PROF'!I16</f>
        <v>60000</v>
      </c>
      <c r="D6" s="327">
        <f>D4-C6</f>
        <v>20915320.750285693</v>
      </c>
      <c r="E6" s="930" t="s">
        <v>875</v>
      </c>
    </row>
    <row r="7" spans="1:24" ht="16.2" thickBot="1" x14ac:dyDescent="0.35">
      <c r="B7" s="115" t="s">
        <v>346</v>
      </c>
      <c r="C7" s="14">
        <f>'4a_úvazky-na-FM'!H27</f>
        <v>512642.63215301622</v>
      </c>
      <c r="D7" s="327">
        <f t="shared" ref="D7" si="0">D6-C7</f>
        <v>20402678.118132677</v>
      </c>
      <c r="E7" s="930" t="s">
        <v>876</v>
      </c>
    </row>
    <row r="8" spans="1:24" ht="16.2" thickBot="1" x14ac:dyDescent="0.35">
      <c r="B8" s="115" t="s">
        <v>348</v>
      </c>
      <c r="C8" s="22">
        <f>250000</f>
        <v>250000</v>
      </c>
      <c r="D8" s="327">
        <f>D7-C8</f>
        <v>20152678.118132677</v>
      </c>
      <c r="E8" s="930" t="s">
        <v>866</v>
      </c>
    </row>
    <row r="9" spans="1:24" x14ac:dyDescent="0.3">
      <c r="B9" s="649" t="s">
        <v>868</v>
      </c>
      <c r="D9" s="650">
        <f>D3-C4-C6-C7-C8</f>
        <v>20152678.118132677</v>
      </c>
      <c r="E9" s="930" t="s">
        <v>874</v>
      </c>
    </row>
    <row r="10" spans="1:24" x14ac:dyDescent="0.3">
      <c r="D10" s="943">
        <f>D8-D9</f>
        <v>0</v>
      </c>
    </row>
    <row r="11" spans="1:24" x14ac:dyDescent="0.3">
      <c r="D11" s="943"/>
    </row>
    <row r="12" spans="1:24" s="3" customFormat="1" x14ac:dyDescent="0.3">
      <c r="A12" s="954" t="s">
        <v>883</v>
      </c>
      <c r="B12" s="955"/>
      <c r="C12" s="956"/>
      <c r="D12" s="13"/>
    </row>
    <row r="13" spans="1:24" ht="46.8" x14ac:dyDescent="0.3">
      <c r="B13" s="129" t="s">
        <v>208</v>
      </c>
      <c r="C13" s="129" t="s">
        <v>209</v>
      </c>
      <c r="D13" s="44"/>
      <c r="E13" s="44"/>
      <c r="F13" s="270" t="s">
        <v>353</v>
      </c>
      <c r="G13" s="270" t="s">
        <v>354</v>
      </c>
      <c r="H13" s="270" t="s">
        <v>873</v>
      </c>
      <c r="I13" s="129" t="s">
        <v>212</v>
      </c>
      <c r="J13" s="129" t="s">
        <v>213</v>
      </c>
      <c r="K13" s="271" t="s">
        <v>229</v>
      </c>
      <c r="L13" s="271" t="s">
        <v>878</v>
      </c>
      <c r="M13" s="950" t="s">
        <v>879</v>
      </c>
      <c r="N13" s="951" t="s">
        <v>880</v>
      </c>
      <c r="Q13" s="42"/>
      <c r="R13" s="42"/>
    </row>
    <row r="14" spans="1:24" x14ac:dyDescent="0.3">
      <c r="A14" s="79" t="s">
        <v>3</v>
      </c>
      <c r="B14" s="859">
        <f>B46</f>
        <v>0</v>
      </c>
      <c r="C14" s="268">
        <f t="shared" ref="C14:C23" si="1">12*B14</f>
        <v>0</v>
      </c>
      <c r="D14" s="454"/>
      <c r="E14" s="79" t="str">
        <f>A14</f>
        <v>ITE</v>
      </c>
      <c r="F14" s="272">
        <f>$G$34*G35</f>
        <v>2970480.1418597605</v>
      </c>
      <c r="G14" s="272">
        <f>$H$34*H35</f>
        <v>4096031.8275104663</v>
      </c>
      <c r="H14" s="272"/>
      <c r="I14" s="273">
        <f>'4_DOC_PROF'!L7</f>
        <v>30000</v>
      </c>
      <c r="J14" s="283">
        <f>C14</f>
        <v>0</v>
      </c>
      <c r="K14" s="315">
        <f>'4a_úvazky-na-FM'!H24</f>
        <v>112923.46820584311</v>
      </c>
      <c r="L14" s="274">
        <f>SUM(F14:K14)</f>
        <v>7209435.4375760704</v>
      </c>
      <c r="M14" s="989"/>
      <c r="N14" s="944">
        <f t="shared" ref="N14:N15" si="2">L14+M14</f>
        <v>7209435.4375760704</v>
      </c>
      <c r="O14" s="109"/>
      <c r="P14" s="845"/>
      <c r="Q14" s="846"/>
      <c r="R14" s="847"/>
      <c r="S14" s="845"/>
      <c r="U14" s="848"/>
      <c r="V14" s="849"/>
      <c r="X14" s="756"/>
    </row>
    <row r="15" spans="1:24" x14ac:dyDescent="0.3">
      <c r="A15" s="79" t="s">
        <v>2</v>
      </c>
      <c r="B15" s="859">
        <v>3750</v>
      </c>
      <c r="C15" s="268">
        <f>(2*B15)+(10*750)</f>
        <v>15000</v>
      </c>
      <c r="D15" s="454"/>
      <c r="E15" s="79" t="str">
        <f t="shared" ref="E15:E17" si="3">A15</f>
        <v>MTI</v>
      </c>
      <c r="F15" s="272">
        <f t="shared" ref="F15:F16" si="4">$G$34*G36</f>
        <v>4170944.1021720814</v>
      </c>
      <c r="G15" s="272">
        <f>$H$34*H36</f>
        <v>2673252.7523702993</v>
      </c>
      <c r="H15" s="272"/>
      <c r="I15" s="273">
        <f>'4_DOC_PROF'!L8</f>
        <v>30000</v>
      </c>
      <c r="J15" s="283">
        <f>C15</f>
        <v>15000</v>
      </c>
      <c r="K15" s="315">
        <f>'4a_úvazky-na-FM'!H25</f>
        <v>226808.44181741241</v>
      </c>
      <c r="L15" s="274">
        <f t="shared" ref="L15:L16" si="5">SUM(F15:K15)</f>
        <v>7116005.2963597924</v>
      </c>
      <c r="M15" s="989"/>
      <c r="N15" s="944">
        <f t="shared" si="2"/>
        <v>7116005.2963597924</v>
      </c>
      <c r="O15" s="109"/>
      <c r="P15" s="845"/>
      <c r="Q15" s="539"/>
      <c r="R15" s="847"/>
      <c r="S15" s="845"/>
      <c r="U15" s="848"/>
      <c r="V15" s="849"/>
      <c r="X15" s="756"/>
    </row>
    <row r="16" spans="1:24" x14ac:dyDescent="0.3">
      <c r="A16" s="79" t="s">
        <v>1</v>
      </c>
      <c r="B16" s="859">
        <v>28500</v>
      </c>
      <c r="C16" s="268">
        <f t="shared" si="1"/>
        <v>342000</v>
      </c>
      <c r="D16" s="454"/>
      <c r="E16" s="79" t="str">
        <f t="shared" si="3"/>
        <v>NTI</v>
      </c>
      <c r="F16" s="272">
        <f t="shared" si="4"/>
        <v>2934914.8150344961</v>
      </c>
      <c r="G16" s="272">
        <f>$H$34*H37</f>
        <v>3307054.4791855728</v>
      </c>
      <c r="H16" s="329"/>
      <c r="I16" s="276">
        <f>'4_DOC_PROF'!L9</f>
        <v>0</v>
      </c>
      <c r="J16" s="283">
        <f>C16</f>
        <v>342000</v>
      </c>
      <c r="K16" s="652">
        <f>'4a_úvazky-na-FM'!H26</f>
        <v>172910.72212976072</v>
      </c>
      <c r="L16" s="274">
        <f t="shared" si="5"/>
        <v>6756880.0163498297</v>
      </c>
      <c r="M16" s="989"/>
      <c r="N16" s="944">
        <f>L16+M16</f>
        <v>6756880.0163498297</v>
      </c>
      <c r="O16" s="109"/>
      <c r="P16" s="845"/>
      <c r="Q16" s="539"/>
      <c r="R16" s="847"/>
      <c r="S16" s="845"/>
      <c r="U16" s="848"/>
      <c r="V16" s="849"/>
      <c r="X16" s="756"/>
    </row>
    <row r="17" spans="1:24" ht="16.2" thickBot="1" x14ac:dyDescent="0.35">
      <c r="A17" s="79" t="s">
        <v>9</v>
      </c>
      <c r="B17" s="859">
        <v>0</v>
      </c>
      <c r="C17" s="859">
        <f t="shared" si="1"/>
        <v>0</v>
      </c>
      <c r="D17" s="454"/>
      <c r="E17" s="79" t="str">
        <f t="shared" si="3"/>
        <v>DFM</v>
      </c>
      <c r="F17" s="329"/>
      <c r="G17" s="932"/>
      <c r="H17" s="988">
        <v>250000</v>
      </c>
      <c r="I17" s="933"/>
      <c r="J17" s="948">
        <v>0</v>
      </c>
      <c r="K17" s="933"/>
      <c r="L17" s="934">
        <f>SUM(F17:K17)-J17</f>
        <v>250000</v>
      </c>
      <c r="M17" s="988"/>
      <c r="N17" s="944">
        <f>L17+M17</f>
        <v>250000</v>
      </c>
      <c r="O17" s="109"/>
      <c r="P17" s="845"/>
      <c r="Q17" s="539"/>
      <c r="R17" s="847"/>
      <c r="S17" s="845"/>
      <c r="U17" s="848"/>
      <c r="V17" s="849"/>
      <c r="X17" s="756"/>
    </row>
    <row r="18" spans="1:24" ht="16.2" thickBot="1" x14ac:dyDescent="0.35">
      <c r="A18" s="79"/>
      <c r="B18" s="931">
        <f>SUM(B14:B17)</f>
        <v>32250</v>
      </c>
      <c r="C18" s="198">
        <f>SUM(C14:C17)</f>
        <v>357000</v>
      </c>
      <c r="D18" s="454"/>
      <c r="E18" s="79"/>
      <c r="F18" s="327">
        <f>SUM(F8:F17)</f>
        <v>10076339.059066338</v>
      </c>
      <c r="G18" s="327">
        <f>SUM(G8:G17)</f>
        <v>10076339.059066338</v>
      </c>
      <c r="H18" s="942">
        <f>SUM(H8:H17)</f>
        <v>250000</v>
      </c>
      <c r="I18" s="942">
        <f>SUM(I8:I17)</f>
        <v>60000</v>
      </c>
      <c r="J18" s="942">
        <f>SUM(J14:J17)</f>
        <v>357000</v>
      </c>
      <c r="K18" s="942">
        <f>SUM(K8:K17)</f>
        <v>512642.63215301622</v>
      </c>
      <c r="L18" s="942">
        <f>SUM(L14:L17)</f>
        <v>21332320.750285693</v>
      </c>
      <c r="M18" s="945">
        <f>SUM(M14:M17)</f>
        <v>0</v>
      </c>
      <c r="N18" s="952">
        <f>SUM(N14:N17)</f>
        <v>21332320.750285693</v>
      </c>
      <c r="O18" s="109"/>
      <c r="P18" s="845"/>
      <c r="Q18" s="539"/>
      <c r="R18" s="847"/>
      <c r="S18" s="845"/>
      <c r="U18" s="848"/>
      <c r="V18" s="849"/>
      <c r="X18" s="756"/>
    </row>
    <row r="19" spans="1:24" x14ac:dyDescent="0.3">
      <c r="A19" s="79"/>
      <c r="B19" s="455"/>
      <c r="C19" s="104"/>
      <c r="D19" s="454"/>
      <c r="E19" s="651" t="s">
        <v>297</v>
      </c>
      <c r="F19" s="634">
        <f>F18-G34</f>
        <v>0</v>
      </c>
      <c r="G19" s="634">
        <f>G18-H34</f>
        <v>0</v>
      </c>
      <c r="H19" s="634"/>
      <c r="K19" s="651"/>
      <c r="L19" s="634"/>
      <c r="M19" s="651" t="s">
        <v>297</v>
      </c>
      <c r="N19" s="634">
        <f>N18-D3</f>
        <v>0</v>
      </c>
      <c r="O19" s="109"/>
      <c r="P19" s="845"/>
      <c r="Q19" s="539"/>
      <c r="R19" s="847"/>
      <c r="S19" s="845"/>
      <c r="U19" s="848"/>
      <c r="V19" s="849"/>
      <c r="X19" s="756"/>
    </row>
    <row r="20" spans="1:24" x14ac:dyDescent="0.3">
      <c r="A20" s="954" t="s">
        <v>877</v>
      </c>
      <c r="B20" s="957"/>
      <c r="C20" s="957"/>
      <c r="D20" s="454"/>
      <c r="E20" s="79"/>
      <c r="F20" s="229"/>
      <c r="G20" s="229"/>
      <c r="H20" s="229"/>
      <c r="I20" s="243"/>
      <c r="J20" s="243"/>
      <c r="K20" s="243"/>
      <c r="L20" s="115"/>
      <c r="M20" s="109"/>
      <c r="N20" s="109"/>
      <c r="O20" s="109"/>
      <c r="P20" s="845"/>
      <c r="Q20" s="539"/>
      <c r="R20" s="847"/>
      <c r="S20" s="845"/>
      <c r="U20" s="848"/>
      <c r="V20" s="849"/>
      <c r="X20" s="756"/>
    </row>
    <row r="21" spans="1:24" ht="15.6" customHeight="1" x14ac:dyDescent="0.3">
      <c r="A21" s="949" t="s">
        <v>869</v>
      </c>
      <c r="B21" s="859">
        <v>0</v>
      </c>
      <c r="C21" s="940">
        <f t="shared" si="1"/>
        <v>0</v>
      </c>
      <c r="D21" s="1064" t="s">
        <v>848</v>
      </c>
      <c r="E21" s="949"/>
      <c r="F21" s="539"/>
      <c r="G21" s="539"/>
      <c r="H21" s="539"/>
      <c r="I21" s="539"/>
      <c r="J21" s="539"/>
      <c r="K21" s="539"/>
      <c r="L21" s="714"/>
      <c r="M21" s="109"/>
      <c r="N21" s="109"/>
      <c r="O21" s="109"/>
      <c r="P21" s="782"/>
      <c r="Q21" s="147"/>
      <c r="R21" s="42"/>
      <c r="U21" s="844"/>
    </row>
    <row r="22" spans="1:24" x14ac:dyDescent="0.3">
      <c r="A22" s="949" t="s">
        <v>870</v>
      </c>
      <c r="B22" s="859">
        <v>0</v>
      </c>
      <c r="C22" s="941">
        <f t="shared" si="1"/>
        <v>0</v>
      </c>
      <c r="D22" s="1064"/>
      <c r="E22" s="949"/>
      <c r="F22" s="539"/>
      <c r="G22" s="539"/>
      <c r="H22" s="539"/>
      <c r="I22" s="539"/>
      <c r="J22" s="539"/>
      <c r="K22" s="539"/>
      <c r="L22" s="714"/>
      <c r="M22" s="109"/>
      <c r="N22" s="109"/>
      <c r="O22" s="109"/>
      <c r="P22" s="782"/>
      <c r="Q22" s="147"/>
      <c r="R22" s="42"/>
    </row>
    <row r="23" spans="1:24" ht="16.2" thickBot="1" x14ac:dyDescent="0.35">
      <c r="A23" s="949" t="s">
        <v>871</v>
      </c>
      <c r="B23" s="268">
        <v>0</v>
      </c>
      <c r="C23" s="941">
        <f t="shared" si="1"/>
        <v>0</v>
      </c>
      <c r="D23" s="1064"/>
      <c r="E23" s="949"/>
      <c r="F23" s="947"/>
      <c r="G23" s="947"/>
      <c r="H23" s="947"/>
      <c r="I23" s="947"/>
      <c r="J23" s="539"/>
      <c r="K23" s="947"/>
      <c r="L23" s="947"/>
      <c r="M23" s="109"/>
      <c r="N23" s="109"/>
      <c r="O23" s="109"/>
      <c r="P23" s="782"/>
      <c r="Q23" s="147"/>
      <c r="R23" s="42"/>
    </row>
    <row r="24" spans="1:24" ht="16.2" thickBot="1" x14ac:dyDescent="0.35">
      <c r="A24" s="12"/>
      <c r="B24" s="931">
        <f>SUM(B21:B23)</f>
        <v>0</v>
      </c>
      <c r="C24" s="953">
        <f>SUM(C21:C23)</f>
        <v>0</v>
      </c>
      <c r="D24" s="104"/>
      <c r="E24" s="42"/>
      <c r="F24" s="104"/>
      <c r="G24" s="104"/>
      <c r="H24" s="104"/>
      <c r="I24" s="104"/>
      <c r="J24" s="104"/>
      <c r="K24" s="647"/>
      <c r="L24" s="946"/>
      <c r="Q24" s="147"/>
      <c r="R24" s="42"/>
    </row>
    <row r="25" spans="1:24" x14ac:dyDescent="0.3">
      <c r="A25" s="753"/>
      <c r="C25" s="391"/>
      <c r="D25" s="104"/>
      <c r="E25" s="647"/>
      <c r="F25" s="946"/>
      <c r="G25" s="946"/>
      <c r="H25" s="946"/>
      <c r="I25" s="42"/>
      <c r="J25" s="42"/>
      <c r="K25" s="647"/>
      <c r="L25" s="946"/>
      <c r="M25" s="190"/>
      <c r="N25" s="190"/>
      <c r="O25" s="190"/>
      <c r="Q25" s="147"/>
      <c r="R25" s="42"/>
    </row>
    <row r="26" spans="1:24" x14ac:dyDescent="0.3">
      <c r="B26" s="778"/>
      <c r="D26" s="27"/>
      <c r="H26" s="115"/>
      <c r="L26" s="12"/>
      <c r="P26" s="487"/>
      <c r="Q26" s="42"/>
    </row>
    <row r="27" spans="1:24" x14ac:dyDescent="0.3">
      <c r="A27" s="42"/>
      <c r="D27" s="104"/>
      <c r="H27" s="115"/>
      <c r="L27" s="12"/>
      <c r="P27" s="487"/>
      <c r="Q27" s="42"/>
    </row>
    <row r="28" spans="1:24" ht="16.2" thickBot="1" x14ac:dyDescent="0.35">
      <c r="A28" s="51"/>
      <c r="H28" s="115"/>
      <c r="K28" s="12"/>
      <c r="P28" s="488"/>
      <c r="Q28" s="42"/>
    </row>
    <row r="29" spans="1:24" x14ac:dyDescent="0.3">
      <c r="A29" s="51"/>
      <c r="E29" s="676"/>
      <c r="F29" s="677"/>
      <c r="G29" s="677"/>
      <c r="H29" s="678"/>
      <c r="I29" s="679"/>
      <c r="J29" s="680"/>
      <c r="K29" s="12"/>
    </row>
    <row r="30" spans="1:24" x14ac:dyDescent="0.3">
      <c r="A30" s="51"/>
      <c r="E30" s="681"/>
      <c r="F30" s="53"/>
      <c r="G30" s="53"/>
      <c r="H30" s="53"/>
      <c r="I30" s="53"/>
      <c r="J30" s="160"/>
      <c r="K30" s="104"/>
      <c r="Q30" s="12"/>
    </row>
    <row r="31" spans="1:24" ht="16.2" thickBot="1" x14ac:dyDescent="0.35">
      <c r="A31" s="51"/>
      <c r="E31" s="682"/>
      <c r="F31" s="1061" t="s">
        <v>463</v>
      </c>
      <c r="G31" s="1061"/>
      <c r="H31" s="1061"/>
      <c r="I31" s="1061"/>
      <c r="J31" s="683"/>
      <c r="K31" s="42"/>
      <c r="L31" s="42"/>
      <c r="R31" s="12"/>
    </row>
    <row r="32" spans="1:24" ht="25.2" thickBot="1" x14ac:dyDescent="0.35">
      <c r="A32" s="42"/>
      <c r="E32" s="681"/>
      <c r="F32" s="419">
        <v>2024</v>
      </c>
      <c r="G32" s="406" t="s">
        <v>351</v>
      </c>
      <c r="H32" s="667" t="s">
        <v>352</v>
      </c>
      <c r="I32" s="655" t="s">
        <v>271</v>
      </c>
      <c r="J32" s="683"/>
      <c r="K32" s="461"/>
      <c r="L32" s="461"/>
      <c r="R32" s="12"/>
    </row>
    <row r="33" spans="1:18" ht="16.2" thickBot="1" x14ac:dyDescent="0.35">
      <c r="D33" s="755"/>
      <c r="E33" s="681"/>
      <c r="F33" s="668"/>
      <c r="G33" s="670">
        <v>0.5</v>
      </c>
      <c r="H33" s="754">
        <f>1-G33</f>
        <v>0.5</v>
      </c>
      <c r="I33" s="671"/>
      <c r="J33" s="683"/>
      <c r="K33" s="147"/>
      <c r="L33" s="147"/>
      <c r="Q33" s="42"/>
      <c r="R33" s="42"/>
    </row>
    <row r="34" spans="1:18" ht="16.2" thickBot="1" x14ac:dyDescent="0.35">
      <c r="E34" s="681"/>
      <c r="F34" s="656" t="s">
        <v>102</v>
      </c>
      <c r="G34" s="327">
        <f>$D$8*G33</f>
        <v>10076339.059066338</v>
      </c>
      <c r="H34" s="327">
        <f>$D$8*H33</f>
        <v>10076339.059066338</v>
      </c>
      <c r="I34" s="669">
        <f>H34+G34-D8</f>
        <v>0</v>
      </c>
      <c r="J34" s="683"/>
      <c r="K34" s="147"/>
      <c r="L34" s="963"/>
      <c r="M34" s="963"/>
      <c r="O34" s="42"/>
      <c r="P34" s="42"/>
      <c r="Q34" s="42"/>
      <c r="R34" s="42"/>
    </row>
    <row r="35" spans="1:18" x14ac:dyDescent="0.3">
      <c r="E35" s="684"/>
      <c r="F35" s="621" t="s">
        <v>3</v>
      </c>
      <c r="G35" s="622">
        <v>0.29479755737149654</v>
      </c>
      <c r="H35" s="936">
        <v>0.40649999999999997</v>
      </c>
      <c r="I35" s="53"/>
      <c r="J35" s="685"/>
      <c r="K35" s="147"/>
      <c r="L35" s="964"/>
      <c r="M35" s="964"/>
      <c r="O35" s="42"/>
      <c r="P35" s="42"/>
      <c r="Q35" s="48"/>
      <c r="R35" s="48"/>
    </row>
    <row r="36" spans="1:18" x14ac:dyDescent="0.3">
      <c r="E36" s="684"/>
      <c r="F36" s="623" t="s">
        <v>2</v>
      </c>
      <c r="G36" s="624">
        <v>0.41393447339579265</v>
      </c>
      <c r="H36" s="937">
        <v>0.26529999999999998</v>
      </c>
      <c r="I36" s="53"/>
      <c r="J36" s="685"/>
      <c r="K36" s="672"/>
      <c r="L36" s="964"/>
      <c r="M36" s="964"/>
      <c r="O36" s="673"/>
      <c r="P36" s="218"/>
      <c r="Q36" s="479"/>
      <c r="R36" s="480"/>
    </row>
    <row r="37" spans="1:18" ht="16.2" thickBot="1" x14ac:dyDescent="0.35">
      <c r="E37" s="684"/>
      <c r="F37" s="625" t="s">
        <v>1</v>
      </c>
      <c r="G37" s="938">
        <v>0.29126796923271076</v>
      </c>
      <c r="H37" s="939">
        <f>1-H35-H36</f>
        <v>0.32820000000000005</v>
      </c>
      <c r="I37" s="53"/>
      <c r="J37" s="686"/>
      <c r="K37" s="487"/>
      <c r="L37" s="964"/>
      <c r="M37" s="964"/>
      <c r="O37" s="478"/>
      <c r="P37" s="850"/>
      <c r="Q37" s="480"/>
      <c r="R37" s="759"/>
    </row>
    <row r="38" spans="1:18" x14ac:dyDescent="0.3">
      <c r="A38" s="485"/>
      <c r="B38" s="2"/>
      <c r="E38" s="684"/>
      <c r="F38" s="42"/>
      <c r="G38" s="935">
        <f>SUM(G35:G37)</f>
        <v>1</v>
      </c>
      <c r="H38" s="935">
        <f>SUM(H35:H37)</f>
        <v>1</v>
      </c>
      <c r="I38" s="53"/>
      <c r="J38" s="683"/>
      <c r="K38" s="480"/>
      <c r="P38" s="759"/>
      <c r="R38" s="782"/>
    </row>
    <row r="39" spans="1:18" ht="16.2" thickBot="1" x14ac:dyDescent="0.35">
      <c r="A39" s="486"/>
      <c r="E39" s="687"/>
      <c r="F39" s="688"/>
      <c r="G39" s="722" t="s">
        <v>530</v>
      </c>
      <c r="H39" s="721" t="s">
        <v>890</v>
      </c>
      <c r="I39" s="689"/>
      <c r="J39" s="690"/>
      <c r="K39" s="480"/>
      <c r="P39" s="759"/>
      <c r="R39" s="782"/>
    </row>
    <row r="40" spans="1:18" x14ac:dyDescent="0.3">
      <c r="C40" s="51"/>
      <c r="D40" s="42"/>
      <c r="F40" s="488"/>
      <c r="G40" s="488"/>
      <c r="H40" s="42"/>
      <c r="I40" s="42"/>
      <c r="J40" s="479"/>
      <c r="K40" s="480"/>
    </row>
    <row r="41" spans="1:18" x14ac:dyDescent="0.3">
      <c r="C41" s="51"/>
      <c r="D41" s="51"/>
      <c r="F41" s="290"/>
      <c r="G41" s="290"/>
      <c r="H41" s="515"/>
      <c r="I41" s="42"/>
      <c r="J41" s="479"/>
      <c r="K41" s="48"/>
    </row>
    <row r="42" spans="1:18" x14ac:dyDescent="0.3">
      <c r="C42" s="42"/>
      <c r="D42" s="42"/>
      <c r="E42" s="476"/>
      <c r="F42" s="42"/>
      <c r="G42" s="42"/>
      <c r="H42" s="42"/>
      <c r="I42" s="42"/>
      <c r="J42" s="481"/>
      <c r="K42" s="48"/>
    </row>
    <row r="43" spans="1:18" x14ac:dyDescent="0.3">
      <c r="C43" s="51"/>
      <c r="D43" s="51"/>
      <c r="E43" s="477"/>
      <c r="F43" s="455"/>
      <c r="G43" s="455"/>
      <c r="H43" s="758"/>
      <c r="I43" s="758"/>
      <c r="J43" s="759"/>
      <c r="K43" s="42"/>
    </row>
    <row r="44" spans="1:18" ht="16.2" thickBot="1" x14ac:dyDescent="0.35">
      <c r="C44" s="51"/>
      <c r="D44" s="42"/>
      <c r="E44" s="42"/>
      <c r="F44" s="483"/>
      <c r="G44" s="483"/>
      <c r="H44" s="42"/>
      <c r="I44" s="479"/>
      <c r="J44" s="480"/>
      <c r="K44" s="42"/>
    </row>
    <row r="45" spans="1:18" x14ac:dyDescent="0.3">
      <c r="A45" s="1062" t="s">
        <v>470</v>
      </c>
      <c r="B45" s="1063"/>
      <c r="C45" s="753" t="s">
        <v>472</v>
      </c>
      <c r="D45" s="42"/>
      <c r="E45" s="474"/>
      <c r="F45" s="482"/>
      <c r="G45" s="482"/>
      <c r="H45" s="42"/>
      <c r="I45" s="479"/>
      <c r="J45" s="480"/>
      <c r="K45" s="42"/>
    </row>
    <row r="46" spans="1:18" x14ac:dyDescent="0.3">
      <c r="A46" s="116" t="str">
        <f>A14</f>
        <v>ITE</v>
      </c>
      <c r="B46" s="860">
        <v>0</v>
      </c>
      <c r="D46" s="42"/>
      <c r="E46" s="475"/>
      <c r="F46" s="482"/>
      <c r="G46" s="482"/>
      <c r="H46" s="42"/>
      <c r="I46" s="479"/>
      <c r="J46" s="480"/>
      <c r="K46" s="42"/>
    </row>
    <row r="47" spans="1:18" x14ac:dyDescent="0.3">
      <c r="A47" s="116" t="str">
        <f>A15</f>
        <v>MTI</v>
      </c>
      <c r="B47" s="860">
        <v>3000</v>
      </c>
      <c r="D47" s="51"/>
      <c r="E47" s="476"/>
      <c r="F47" s="482"/>
      <c r="G47" s="482"/>
      <c r="H47" s="42"/>
      <c r="I47" s="479"/>
      <c r="J47" s="480"/>
      <c r="K47" s="42"/>
    </row>
    <row r="48" spans="1:18" x14ac:dyDescent="0.3">
      <c r="A48" s="116" t="str">
        <f>A16</f>
        <v>NTI</v>
      </c>
      <c r="B48" s="860">
        <v>15000</v>
      </c>
      <c r="D48" s="42" t="s">
        <v>534</v>
      </c>
      <c r="E48" s="476"/>
      <c r="F48" s="482" t="s">
        <v>535</v>
      </c>
      <c r="G48" s="482"/>
      <c r="H48" s="42"/>
      <c r="I48" s="479"/>
      <c r="J48" s="480"/>
      <c r="K48" s="42"/>
    </row>
    <row r="49" spans="1:11" x14ac:dyDescent="0.3">
      <c r="A49" s="116" t="str">
        <f>A17</f>
        <v>DFM</v>
      </c>
      <c r="B49" s="861">
        <v>0</v>
      </c>
      <c r="D49" s="781">
        <v>3000</v>
      </c>
      <c r="E49" s="1" t="s">
        <v>446</v>
      </c>
      <c r="F49" s="863">
        <f>12*D49</f>
        <v>36000</v>
      </c>
      <c r="G49" s="483"/>
      <c r="H49" s="42"/>
      <c r="I49" s="479"/>
      <c r="J49" s="48"/>
      <c r="K49" s="42"/>
    </row>
    <row r="50" spans="1:11" x14ac:dyDescent="0.3">
      <c r="A50" s="116" t="str">
        <f t="shared" ref="A50:A52" si="6">A21</f>
        <v>DFM (CxI)</v>
      </c>
      <c r="B50" s="861">
        <v>3000</v>
      </c>
      <c r="D50" s="193">
        <v>6000</v>
      </c>
      <c r="E50" s="42" t="s">
        <v>849</v>
      </c>
      <c r="F50" s="863">
        <f t="shared" ref="F50:F51" si="7">12*D50</f>
        <v>72000</v>
      </c>
      <c r="G50" s="483"/>
      <c r="H50" s="42"/>
      <c r="I50" s="479"/>
      <c r="J50" s="48"/>
      <c r="K50" s="42"/>
    </row>
    <row r="51" spans="1:11" x14ac:dyDescent="0.3">
      <c r="A51" s="116" t="str">
        <f t="shared" si="6"/>
        <v>DFM (FP-KCHT)</v>
      </c>
      <c r="B51" s="862">
        <v>6000</v>
      </c>
      <c r="D51" s="853">
        <v>6000</v>
      </c>
      <c r="E51" s="42" t="s">
        <v>872</v>
      </c>
      <c r="F51" s="863">
        <f t="shared" si="7"/>
        <v>72000</v>
      </c>
      <c r="G51" s="483"/>
      <c r="H51" s="42"/>
      <c r="I51" s="479"/>
      <c r="J51" s="480"/>
      <c r="K51" s="42"/>
    </row>
    <row r="52" spans="1:11" x14ac:dyDescent="0.3">
      <c r="A52" s="116" t="str">
        <f t="shared" si="6"/>
        <v>DFM (REK-NTI)</v>
      </c>
      <c r="B52" s="861">
        <v>6000</v>
      </c>
      <c r="C52" s="42"/>
      <c r="D52" s="42"/>
      <c r="E52" s="476"/>
      <c r="F52" s="482"/>
      <c r="G52" s="482"/>
      <c r="H52" s="42"/>
      <c r="I52" s="479"/>
      <c r="J52" s="480"/>
      <c r="K52" s="42"/>
    </row>
    <row r="53" spans="1:11" x14ac:dyDescent="0.3">
      <c r="C53" s="42"/>
      <c r="D53" s="42"/>
      <c r="E53" s="475"/>
      <c r="F53" s="482"/>
      <c r="G53" s="482"/>
      <c r="H53" s="42"/>
      <c r="I53" s="479"/>
      <c r="J53" s="480"/>
      <c r="K53" s="42"/>
    </row>
    <row r="54" spans="1:11" x14ac:dyDescent="0.3">
      <c r="C54" s="42"/>
      <c r="D54" s="51"/>
      <c r="E54" s="476"/>
      <c r="F54" s="482"/>
      <c r="G54" s="482"/>
      <c r="H54" s="42"/>
      <c r="I54" s="479"/>
      <c r="J54" s="480"/>
      <c r="K54" s="42"/>
    </row>
    <row r="55" spans="1:11" hidden="1" x14ac:dyDescent="0.3">
      <c r="C55" s="42"/>
      <c r="D55" s="42"/>
      <c r="E55" s="476"/>
      <c r="F55" s="482"/>
      <c r="G55" s="482"/>
      <c r="H55" s="42"/>
      <c r="I55" s="479"/>
      <c r="J55" s="480"/>
      <c r="K55" s="42"/>
    </row>
    <row r="56" spans="1:11" ht="46.8" x14ac:dyDescent="0.3">
      <c r="A56" s="200" t="s">
        <v>850</v>
      </c>
      <c r="B56" s="200" t="s">
        <v>851</v>
      </c>
      <c r="C56" s="200" t="s">
        <v>852</v>
      </c>
      <c r="D56" s="200" t="s">
        <v>853</v>
      </c>
      <c r="F56" s="42"/>
      <c r="G56" s="42"/>
      <c r="H56" s="42"/>
      <c r="I56" s="479"/>
      <c r="J56" s="42"/>
      <c r="K56" s="42"/>
    </row>
    <row r="57" spans="1:11" x14ac:dyDescent="0.3">
      <c r="A57" s="925" t="s">
        <v>854</v>
      </c>
      <c r="B57" s="926" t="s">
        <v>855</v>
      </c>
      <c r="C57" s="926">
        <v>7817</v>
      </c>
      <c r="D57" s="927">
        <v>3000</v>
      </c>
      <c r="E57" s="1" t="s">
        <v>856</v>
      </c>
      <c r="F57" s="484"/>
      <c r="G57" s="484"/>
      <c r="H57" s="42"/>
      <c r="I57" s="42"/>
      <c r="J57" s="42"/>
      <c r="K57" s="42"/>
    </row>
    <row r="58" spans="1:11" x14ac:dyDescent="0.3">
      <c r="A58" s="925" t="s">
        <v>857</v>
      </c>
      <c r="B58" s="926" t="s">
        <v>858</v>
      </c>
      <c r="C58" s="926">
        <v>7817</v>
      </c>
      <c r="D58" s="927">
        <v>3000</v>
      </c>
      <c r="E58" s="1" t="s">
        <v>1</v>
      </c>
      <c r="F58" s="42"/>
      <c r="G58" s="42"/>
      <c r="H58" s="42"/>
      <c r="I58" s="42"/>
      <c r="J58" s="42"/>
    </row>
    <row r="59" spans="1:11" x14ac:dyDescent="0.3">
      <c r="A59" s="925" t="s">
        <v>859</v>
      </c>
      <c r="B59" s="926" t="s">
        <v>860</v>
      </c>
      <c r="C59" s="926">
        <v>7817</v>
      </c>
      <c r="D59" s="927">
        <v>3000</v>
      </c>
      <c r="E59" s="1" t="s">
        <v>427</v>
      </c>
      <c r="F59" s="42"/>
      <c r="G59" s="42"/>
      <c r="H59" s="42"/>
      <c r="I59" s="42"/>
      <c r="J59" s="42"/>
    </row>
    <row r="60" spans="1:11" x14ac:dyDescent="0.3">
      <c r="A60" s="928" t="s">
        <v>861</v>
      </c>
      <c r="B60" s="926" t="s">
        <v>862</v>
      </c>
      <c r="C60" s="929">
        <v>7817</v>
      </c>
      <c r="D60" s="927">
        <v>3000</v>
      </c>
      <c r="E60" s="1" t="s">
        <v>1</v>
      </c>
      <c r="F60" s="42"/>
      <c r="G60" s="42"/>
      <c r="H60" s="42"/>
      <c r="I60" s="42"/>
    </row>
    <row r="61" spans="1:11" x14ac:dyDescent="0.3">
      <c r="A61" s="925" t="s">
        <v>863</v>
      </c>
      <c r="B61" s="926" t="s">
        <v>864</v>
      </c>
      <c r="C61" s="926">
        <v>7817</v>
      </c>
      <c r="D61" s="927">
        <v>3000</v>
      </c>
      <c r="E61" s="1" t="s">
        <v>427</v>
      </c>
    </row>
  </sheetData>
  <mergeCells count="3">
    <mergeCell ref="F31:I31"/>
    <mergeCell ref="A45:B45"/>
    <mergeCell ref="D21:D23"/>
  </mergeCells>
  <conditionalFormatting sqref="F44:G48 F52:G57 G49:G5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{89B468E4-1435-40B8-BDCF-E6D69F28003F}</x14:id>
        </ext>
      </extLst>
    </cfRule>
  </conditionalFormatting>
  <conditionalFormatting sqref="J44:J5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{E8493E7E-D5D4-4A92-9641-EC08BE64C41E}</x14:id>
        </ext>
      </extLst>
    </cfRule>
  </conditionalFormatting>
  <printOptions horizontalCentered="1"/>
  <pageMargins left="0" right="0" top="1.3779527559055118" bottom="0" header="0.70866141732283472" footer="0.31496062992125984"/>
  <pageSetup paperSize="9" scale="86" orientation="landscape" r:id="rId1"/>
  <headerFooter>
    <oddHeader>&amp;R&amp;Z&amp;F
List: &amp;A</oddHead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B468E4-1435-40B8-BDCF-E6D69F28003F}">
            <x14:dataBar minLength="0" maxLength="100" negativeBarColorSameAsPositive="1" axisPosition="none">
              <x14:cfvo type="min"/>
              <x14:cfvo type="max"/>
            </x14:dataBar>
          </x14:cfRule>
          <xm:sqref>F44:G48 F52:G57 G49:G51</xm:sqref>
        </x14:conditionalFormatting>
        <x14:conditionalFormatting xmlns:xm="http://schemas.microsoft.com/office/excel/2006/main">
          <x14:cfRule type="dataBar" id="{E8493E7E-D5D4-4A92-9641-EC08BE64C41E}">
            <x14:dataBar minLength="0" maxLength="100" negativeBarColorSameAsPositive="1" axisPosition="none">
              <x14:cfvo type="min"/>
              <x14:cfvo type="max"/>
            </x14:dataBar>
          </x14:cfRule>
          <xm:sqref>J44:J55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34"/>
  <sheetViews>
    <sheetView zoomScaleNormal="100" workbookViewId="0">
      <selection activeCell="B9" sqref="B9"/>
    </sheetView>
  </sheetViews>
  <sheetFormatPr defaultColWidth="9.109375" defaultRowHeight="15.6" x14ac:dyDescent="0.3"/>
  <cols>
    <col min="1" max="1" width="13.88671875" style="1" customWidth="1"/>
    <col min="2" max="2" width="14.109375" style="1" bestFit="1" customWidth="1"/>
    <col min="3" max="4" width="12.88671875" style="1" customWidth="1"/>
    <col min="5" max="5" width="12.33203125" style="1" customWidth="1"/>
    <col min="6" max="6" width="12.44140625" style="1" customWidth="1"/>
    <col min="7" max="7" width="11" style="1" customWidth="1"/>
    <col min="8" max="8" width="14.6640625" style="1" customWidth="1"/>
    <col min="9" max="9" width="5.5546875" style="1" customWidth="1"/>
    <col min="10" max="10" width="17.44140625" style="1" bestFit="1" customWidth="1"/>
    <col min="11" max="11" width="18.6640625" style="1" customWidth="1"/>
    <col min="12" max="12" width="13.33203125" style="1" customWidth="1"/>
    <col min="13" max="13" width="16.33203125" style="1" customWidth="1"/>
    <col min="14" max="14" width="7.44140625" style="1" customWidth="1"/>
    <col min="15" max="15" width="14.6640625" style="1" customWidth="1"/>
    <col min="16" max="21" width="11.33203125" style="1" customWidth="1"/>
    <col min="22" max="22" width="19" style="1" customWidth="1"/>
    <col min="23" max="16384" width="9.109375" style="1"/>
  </cols>
  <sheetData>
    <row r="1" spans="1:17" ht="17.399999999999999" x14ac:dyDescent="0.3">
      <c r="A1" s="8" t="s">
        <v>948</v>
      </c>
    </row>
    <row r="2" spans="1:17" ht="17.399999999999999" x14ac:dyDescent="0.3">
      <c r="A2" s="8" t="s">
        <v>284</v>
      </c>
      <c r="I2" s="219"/>
      <c r="P2" s="365"/>
      <c r="Q2" s="27"/>
    </row>
    <row r="3" spans="1:17" x14ac:dyDescent="0.3">
      <c r="A3" s="40"/>
      <c r="B3" s="40"/>
      <c r="C3" s="40"/>
      <c r="D3" s="40"/>
      <c r="E3" s="40"/>
      <c r="F3" s="40"/>
      <c r="G3" s="40"/>
      <c r="H3" s="40"/>
      <c r="I3" s="40"/>
      <c r="J3" s="40"/>
    </row>
    <row r="4" spans="1:17" s="17" customFormat="1" ht="55.2" x14ac:dyDescent="0.25">
      <c r="A4" s="438"/>
      <c r="B4" s="430">
        <v>106</v>
      </c>
      <c r="C4" s="430">
        <v>117</v>
      </c>
      <c r="D4" s="430" t="s">
        <v>105</v>
      </c>
      <c r="E4" s="430" t="s">
        <v>141</v>
      </c>
      <c r="F4" s="430" t="s">
        <v>152</v>
      </c>
      <c r="G4" s="439" t="s">
        <v>149</v>
      </c>
      <c r="H4" s="440" t="s">
        <v>355</v>
      </c>
      <c r="J4" s="430" t="s">
        <v>238</v>
      </c>
      <c r="K4" s="94" t="s">
        <v>343</v>
      </c>
      <c r="L4" s="368"/>
      <c r="M4" s="430" t="s">
        <v>257</v>
      </c>
    </row>
    <row r="5" spans="1:17" x14ac:dyDescent="0.3">
      <c r="A5" s="50" t="s">
        <v>86</v>
      </c>
      <c r="B5" s="280">
        <f>'10_Celkem_106'!N11</f>
        <v>8281329.8672959236</v>
      </c>
      <c r="C5" s="280">
        <f>'12_Celkem_117'!L14</f>
        <v>7209435.4375760704</v>
      </c>
      <c r="D5" s="280">
        <f>'11_Celkem_115'!M9</f>
        <v>251318</v>
      </c>
      <c r="E5" s="369">
        <f>B5+C5</f>
        <v>15490765.304871995</v>
      </c>
      <c r="F5" s="280">
        <f>-'13_Celoškolská Režie'!I33</f>
        <v>-3975686</v>
      </c>
      <c r="G5" s="280">
        <f>'8_Výpočet_20%_FRIM'!D6*-1</f>
        <v>-70534</v>
      </c>
      <c r="H5" s="370">
        <f>SUM(E5:G5)</f>
        <v>11444545.304871995</v>
      </c>
      <c r="I5" s="119">
        <f>H5/SUM($H$5:$H$7)</f>
        <v>0.25779229949772781</v>
      </c>
      <c r="J5" s="370">
        <f>F5+G5</f>
        <v>-4046220</v>
      </c>
      <c r="K5" s="653">
        <f>'9_DFM'!B8</f>
        <v>6804018</v>
      </c>
      <c r="L5" s="50" t="s">
        <v>86</v>
      </c>
      <c r="M5" s="273">
        <f>$K$5*I5</f>
        <v>1754023.4460439309</v>
      </c>
      <c r="N5" s="313"/>
    </row>
    <row r="6" spans="1:17" x14ac:dyDescent="0.3">
      <c r="A6" s="50" t="s">
        <v>87</v>
      </c>
      <c r="B6" s="280">
        <f>'10_Celkem_106'!N12</f>
        <v>21148672.724848837</v>
      </c>
      <c r="C6" s="280">
        <f>'12_Celkem_117'!L15</f>
        <v>7116005.2963597924</v>
      </c>
      <c r="D6" s="280">
        <f>'11_Celkem_115'!M10</f>
        <v>1115719</v>
      </c>
      <c r="E6" s="369">
        <f>B6+C6</f>
        <v>28264678.021208629</v>
      </c>
      <c r="F6" s="280">
        <f>-'13_Celoškolská Režie'!I34</f>
        <v>-11616171</v>
      </c>
      <c r="G6" s="280">
        <f>'8_Výpočet_20%_FRIM'!D7*-1</f>
        <v>-270445</v>
      </c>
      <c r="H6" s="370">
        <f>SUM(E6:G6)</f>
        <v>16378062.021208629</v>
      </c>
      <c r="I6" s="119">
        <f t="shared" ref="I6:I7" si="0">H6/SUM($H$5:$H$7)</f>
        <v>0.36892145186112307</v>
      </c>
      <c r="J6" s="370">
        <f>F6+G6</f>
        <v>-11886616</v>
      </c>
      <c r="K6" s="280"/>
      <c r="L6" s="50" t="s">
        <v>87</v>
      </c>
      <c r="M6" s="273">
        <f t="shared" ref="M6:M7" si="1">$K$5*I6</f>
        <v>2510148.1990492148</v>
      </c>
      <c r="N6" s="313"/>
    </row>
    <row r="7" spans="1:17" ht="16.2" thickBot="1" x14ac:dyDescent="0.35">
      <c r="A7" s="50" t="s">
        <v>88</v>
      </c>
      <c r="B7" s="280">
        <f>'10_Celkem_106'!N13</f>
        <v>16404683.722635448</v>
      </c>
      <c r="C7" s="280">
        <f>'12_Celkem_117'!L16</f>
        <v>6756880.0163498297</v>
      </c>
      <c r="D7" s="280">
        <f>'11_Celkem_115'!M11</f>
        <v>2705032</v>
      </c>
      <c r="E7" s="369">
        <f>B7+C7</f>
        <v>23161563.738985278</v>
      </c>
      <c r="F7" s="280">
        <f>-'13_Celoškolská Režie'!I35</f>
        <v>-6477202</v>
      </c>
      <c r="G7" s="280">
        <f>'8_Výpočet_20%_FRIM'!D8*-1</f>
        <v>-112527</v>
      </c>
      <c r="H7" s="371">
        <f>SUM(E7:G7)</f>
        <v>16571834.738985278</v>
      </c>
      <c r="I7" s="119">
        <f t="shared" si="0"/>
        <v>0.37328624864114907</v>
      </c>
      <c r="J7" s="370">
        <f>F7+G7</f>
        <v>-6589729</v>
      </c>
      <c r="K7" s="280"/>
      <c r="L7" s="50" t="s">
        <v>88</v>
      </c>
      <c r="M7" s="273">
        <f t="shared" si="1"/>
        <v>2539846.3549068538</v>
      </c>
      <c r="N7" s="313"/>
    </row>
    <row r="8" spans="1:17" ht="16.2" thickBot="1" x14ac:dyDescent="0.35">
      <c r="A8" s="106" t="s">
        <v>335</v>
      </c>
      <c r="B8" s="795">
        <f>SUM(B5:B7)</f>
        <v>45834686.314780205</v>
      </c>
      <c r="C8" s="795">
        <f t="shared" ref="C8:G8" si="2">SUM(C5:C7)</f>
        <v>21082320.750285693</v>
      </c>
      <c r="D8" s="795">
        <f>SUM(D5:D7)</f>
        <v>4072069</v>
      </c>
      <c r="E8" s="795">
        <f>SUM(E5:E7)</f>
        <v>66917007.065065898</v>
      </c>
      <c r="F8" s="795">
        <f t="shared" si="2"/>
        <v>-22069059</v>
      </c>
      <c r="G8" s="796">
        <f t="shared" si="2"/>
        <v>-453506</v>
      </c>
      <c r="H8" s="797">
        <f>SUM(H5:H7)</f>
        <v>44394442.065065905</v>
      </c>
      <c r="J8" s="802">
        <f>SUM(J5:J7)</f>
        <v>-22522565</v>
      </c>
      <c r="K8" s="364"/>
      <c r="L8" s="42"/>
      <c r="M8" s="27"/>
    </row>
    <row r="9" spans="1:17" ht="18" thickBot="1" x14ac:dyDescent="0.35">
      <c r="A9" s="794" t="s">
        <v>75</v>
      </c>
      <c r="B9" s="800">
        <f>'10_Celkem_106'!N14-B10</f>
        <v>1035343.9986696038</v>
      </c>
      <c r="C9" s="800">
        <f>'12_Celkem_117'!L17</f>
        <v>250000</v>
      </c>
      <c r="D9" s="800">
        <f>'11_Celkem_115'!M13+'11_Celkem_115'!M14</f>
        <v>334891</v>
      </c>
      <c r="E9" s="434">
        <f>SUM(B9:C9)</f>
        <v>1285343.9986696038</v>
      </c>
      <c r="F9" s="801">
        <f>-'13_Celoškolská Režie'!I36</f>
        <v>-95963</v>
      </c>
      <c r="G9" s="800">
        <f>'8_Výpočet_20%_FRIM'!D5*-1</f>
        <v>-23000</v>
      </c>
      <c r="H9" s="800">
        <f>SUM(E9:G9)</f>
        <v>1166380.9986696038</v>
      </c>
      <c r="J9" s="800">
        <f>F9+G9</f>
        <v>-118963</v>
      </c>
      <c r="K9" s="280"/>
      <c r="L9" s="52" t="s">
        <v>344</v>
      </c>
      <c r="M9" s="366">
        <f>SUM(M5:M7)</f>
        <v>6804018</v>
      </c>
    </row>
    <row r="10" spans="1:17" ht="17.399999999999999" x14ac:dyDescent="0.3">
      <c r="A10" s="883" t="s">
        <v>542</v>
      </c>
      <c r="B10" s="800">
        <f>'0_PRIDEL'!B18</f>
        <v>150000</v>
      </c>
      <c r="C10" s="800"/>
      <c r="D10" s="800"/>
      <c r="E10" s="434">
        <f>SUM(B10:C10)</f>
        <v>150000</v>
      </c>
      <c r="F10" s="801"/>
      <c r="G10" s="800"/>
      <c r="H10" s="800">
        <f>SUM(E10:G10)</f>
        <v>150000</v>
      </c>
      <c r="J10" s="800"/>
      <c r="K10" s="280"/>
      <c r="L10" s="761"/>
      <c r="M10" s="793"/>
    </row>
    <row r="11" spans="1:17" ht="17.399999999999999" x14ac:dyDescent="0.3">
      <c r="A11" s="816" t="s">
        <v>509</v>
      </c>
      <c r="B11" s="817">
        <f>'10_Celkem_106'!N15</f>
        <v>0</v>
      </c>
      <c r="C11" s="817"/>
      <c r="D11" s="817"/>
      <c r="E11" s="818">
        <f>SUM(B11:C11)</f>
        <v>0</v>
      </c>
      <c r="F11" s="819"/>
      <c r="G11" s="817"/>
      <c r="H11" s="817">
        <f>SUM(E11:G11)</f>
        <v>0</v>
      </c>
      <c r="J11" s="817">
        <f>F11+G11</f>
        <v>0</v>
      </c>
      <c r="K11" s="280"/>
      <c r="L11" s="761"/>
      <c r="M11" s="793"/>
    </row>
    <row r="12" spans="1:17" ht="16.2" thickBot="1" x14ac:dyDescent="0.35">
      <c r="B12" s="798">
        <f>B8+B9+B11+B10</f>
        <v>47020030.313449807</v>
      </c>
      <c r="C12" s="798">
        <f>C8+C9+C11</f>
        <v>21332320.750285693</v>
      </c>
      <c r="D12" s="798">
        <f>D8+D9</f>
        <v>4406960</v>
      </c>
      <c r="E12" s="798">
        <f>E8+E9+E11+E10</f>
        <v>68352351.0637355</v>
      </c>
      <c r="F12" s="798">
        <f t="shared" ref="F12:G12" si="3">F8+F9</f>
        <v>-22165022</v>
      </c>
      <c r="G12" s="799">
        <f t="shared" si="3"/>
        <v>-476506</v>
      </c>
      <c r="H12" s="626">
        <f>H8+H9+H11+H10</f>
        <v>45710823.063735507</v>
      </c>
      <c r="J12" s="626">
        <f>J8+J9</f>
        <v>-22641528</v>
      </c>
      <c r="K12" s="364"/>
      <c r="L12" s="651" t="s">
        <v>297</v>
      </c>
      <c r="M12" s="634">
        <f>M9-K5</f>
        <v>0</v>
      </c>
    </row>
    <row r="13" spans="1:17" x14ac:dyDescent="0.3">
      <c r="B13" s="630"/>
      <c r="C13" s="631"/>
      <c r="D13" s="631"/>
    </row>
    <row r="14" spans="1:17" x14ac:dyDescent="0.3">
      <c r="B14" s="269">
        <f>'0_PRIDEL'!B19</f>
        <v>47020030.203449816</v>
      </c>
      <c r="C14" s="269">
        <f>'0_PRIDEL'!B20</f>
        <v>21332320.750285693</v>
      </c>
      <c r="D14" s="269">
        <f>'0_PRIDEL'!B21</f>
        <v>4406959.59670767</v>
      </c>
      <c r="E14" s="269">
        <f>'0_PRIDEL'!B19+'0_PRIDEL'!B20</f>
        <v>68352350.953735501</v>
      </c>
      <c r="F14" s="269">
        <f>'0_PRIDEL'!B23</f>
        <v>-22165022.062487867</v>
      </c>
      <c r="G14" s="269">
        <f>'0_PRIDEL'!B24</f>
        <v>-476505.6791008719</v>
      </c>
      <c r="H14" s="269">
        <f>'0_PRIDEL'!B25</f>
        <v>45710823.212146759</v>
      </c>
      <c r="M14" s="269"/>
    </row>
    <row r="15" spans="1:17" x14ac:dyDescent="0.3">
      <c r="B15" s="290">
        <f>B14-B12</f>
        <v>-0.10999999195337296</v>
      </c>
      <c r="C15" s="290">
        <f>C14-C12</f>
        <v>0</v>
      </c>
      <c r="D15" s="290">
        <f t="shared" ref="D15:G15" si="4">D14-D12</f>
        <v>-0.4032923299819231</v>
      </c>
      <c r="E15" s="290">
        <f t="shared" si="4"/>
        <v>-0.10999999940395355</v>
      </c>
      <c r="F15" s="822">
        <f>F14-F12</f>
        <v>-6.248786672949791E-2</v>
      </c>
      <c r="G15" s="290">
        <f t="shared" si="4"/>
        <v>0.32089912809897214</v>
      </c>
      <c r="H15" s="290">
        <f>H14-H12</f>
        <v>0.14841125160455704</v>
      </c>
      <c r="M15" s="290"/>
    </row>
    <row r="16" spans="1:17" x14ac:dyDescent="0.3">
      <c r="B16" s="290"/>
      <c r="C16" s="290"/>
      <c r="D16" s="290"/>
      <c r="H16" s="290"/>
    </row>
    <row r="17" spans="1:13" ht="17.399999999999999" x14ac:dyDescent="0.3">
      <c r="A17" s="8" t="s">
        <v>949</v>
      </c>
      <c r="B17" s="290"/>
      <c r="C17" s="290"/>
      <c r="D17" s="290"/>
      <c r="H17" s="290"/>
    </row>
    <row r="18" spans="1:13" s="17" customFormat="1" ht="41.4" x14ac:dyDescent="0.25">
      <c r="A18" s="368" t="s">
        <v>256</v>
      </c>
      <c r="B18" s="431">
        <v>106</v>
      </c>
      <c r="C18" s="431">
        <v>117</v>
      </c>
      <c r="D18" s="431" t="str">
        <f>D4</f>
        <v>115 (SGS)</v>
      </c>
      <c r="E18" s="431" t="s">
        <v>141</v>
      </c>
      <c r="F18" s="431" t="s">
        <v>152</v>
      </c>
      <c r="G18" s="432" t="s">
        <v>149</v>
      </c>
      <c r="H18" s="431" t="s">
        <v>356</v>
      </c>
      <c r="J18" s="765" t="s">
        <v>357</v>
      </c>
    </row>
    <row r="19" spans="1:13" x14ac:dyDescent="0.3">
      <c r="A19" s="50" t="s">
        <v>86</v>
      </c>
      <c r="B19" s="629">
        <f>B5-M5</f>
        <v>6527306.4212519927</v>
      </c>
      <c r="C19" s="370">
        <f>C5</f>
        <v>7209435.4375760704</v>
      </c>
      <c r="D19" s="370">
        <f>D5</f>
        <v>251318</v>
      </c>
      <c r="E19" s="370">
        <f>C19+B19</f>
        <v>13736741.858828064</v>
      </c>
      <c r="F19" s="370">
        <f t="shared" ref="F19:G21" si="5">F5</f>
        <v>-3975686</v>
      </c>
      <c r="G19" s="370">
        <f t="shared" si="5"/>
        <v>-70534</v>
      </c>
      <c r="H19" s="370">
        <f>SUM(E19:G19)</f>
        <v>9690521.8588280641</v>
      </c>
      <c r="J19" s="766">
        <f>H19+D19</f>
        <v>9941839.8588280641</v>
      </c>
      <c r="K19" s="347"/>
      <c r="L19" s="347"/>
      <c r="M19" s="347"/>
    </row>
    <row r="20" spans="1:13" x14ac:dyDescent="0.3">
      <c r="A20" s="50" t="s">
        <v>87</v>
      </c>
      <c r="B20" s="629">
        <f>B6-M6</f>
        <v>18638524.525799621</v>
      </c>
      <c r="C20" s="370">
        <f>C6</f>
        <v>7116005.2963597924</v>
      </c>
      <c r="D20" s="370">
        <f>D6</f>
        <v>1115719</v>
      </c>
      <c r="E20" s="370">
        <f>C20+B20</f>
        <v>25754529.822159413</v>
      </c>
      <c r="F20" s="370">
        <f t="shared" si="5"/>
        <v>-11616171</v>
      </c>
      <c r="G20" s="370">
        <f t="shared" si="5"/>
        <v>-270445</v>
      </c>
      <c r="H20" s="370">
        <f>SUM(E20:G20)</f>
        <v>13867913.822159413</v>
      </c>
      <c r="J20" s="766">
        <f t="shared" ref="J20:J25" si="6">H20+D20</f>
        <v>14983632.822159413</v>
      </c>
      <c r="K20" s="347"/>
      <c r="L20" s="347"/>
      <c r="M20" s="347"/>
    </row>
    <row r="21" spans="1:13" ht="16.2" thickBot="1" x14ac:dyDescent="0.35">
      <c r="A21" s="50" t="s">
        <v>88</v>
      </c>
      <c r="B21" s="629">
        <f>B7-M7</f>
        <v>13864837.367728595</v>
      </c>
      <c r="C21" s="370">
        <f>C7</f>
        <v>6756880.0163498297</v>
      </c>
      <c r="D21" s="370">
        <f>D7</f>
        <v>2705032</v>
      </c>
      <c r="E21" s="370">
        <f>C21+B21</f>
        <v>20621717.384078424</v>
      </c>
      <c r="F21" s="370">
        <f t="shared" si="5"/>
        <v>-6477202</v>
      </c>
      <c r="G21" s="370">
        <f t="shared" si="5"/>
        <v>-112527</v>
      </c>
      <c r="H21" s="371">
        <f>SUM(E21:G21)</f>
        <v>14031988.384078424</v>
      </c>
      <c r="J21" s="766">
        <f t="shared" si="6"/>
        <v>16737020.384078424</v>
      </c>
      <c r="K21" s="347"/>
      <c r="L21" s="347"/>
      <c r="M21" s="347"/>
    </row>
    <row r="22" spans="1:13" ht="16.2" thickBot="1" x14ac:dyDescent="0.35">
      <c r="A22" s="106" t="s">
        <v>335</v>
      </c>
      <c r="B22" s="627">
        <f>SUM(B19:B21)</f>
        <v>39030668.314780205</v>
      </c>
      <c r="C22" s="628">
        <f>SUM(C19:C21)</f>
        <v>21082320.750285693</v>
      </c>
      <c r="D22" s="628">
        <f>SUM(D19:D21)</f>
        <v>4072069</v>
      </c>
      <c r="E22" s="628">
        <f>SUM(E19:E21)</f>
        <v>60112989.065065905</v>
      </c>
      <c r="F22" s="628">
        <f t="shared" ref="F22:G22" si="7">SUM(F19:F21)</f>
        <v>-22069059</v>
      </c>
      <c r="G22" s="628">
        <f t="shared" si="7"/>
        <v>-453506</v>
      </c>
      <c r="H22" s="437">
        <f>SUM(H19:H21)</f>
        <v>37590424.065065905</v>
      </c>
      <c r="J22" s="766">
        <f t="shared" si="6"/>
        <v>41662493.065065905</v>
      </c>
    </row>
    <row r="23" spans="1:13" x14ac:dyDescent="0.3">
      <c r="A23" s="433" t="s">
        <v>75</v>
      </c>
      <c r="B23" s="367">
        <f>M9+B9+B10</f>
        <v>7989361.9986696038</v>
      </c>
      <c r="C23" s="280">
        <f>C9</f>
        <v>250000</v>
      </c>
      <c r="D23" s="280">
        <f>D9</f>
        <v>334891</v>
      </c>
      <c r="E23" s="280">
        <f>B23+C23</f>
        <v>8239361.9986696038</v>
      </c>
      <c r="F23" s="280">
        <f>F9</f>
        <v>-95963</v>
      </c>
      <c r="G23" s="280">
        <f>G9</f>
        <v>-23000</v>
      </c>
      <c r="H23" s="372">
        <f>SUM(E23:G23)</f>
        <v>8120398.9986696038</v>
      </c>
      <c r="J23" s="766">
        <f t="shared" si="6"/>
        <v>8455289.9986696038</v>
      </c>
    </row>
    <row r="24" spans="1:13" ht="16.2" thickBot="1" x14ac:dyDescent="0.35">
      <c r="A24" s="433" t="str">
        <f>A11</f>
        <v>mimo FM</v>
      </c>
      <c r="B24" s="367">
        <f>B11</f>
        <v>0</v>
      </c>
      <c r="C24" s="280">
        <f>C11</f>
        <v>0</v>
      </c>
      <c r="D24" s="280"/>
      <c r="E24" s="280">
        <f>B24+C24</f>
        <v>0</v>
      </c>
      <c r="F24" s="280"/>
      <c r="G24" s="280"/>
      <c r="H24" s="372">
        <f>SUM(E24:G24)</f>
        <v>0</v>
      </c>
      <c r="J24" s="766">
        <f t="shared" si="6"/>
        <v>0</v>
      </c>
    </row>
    <row r="25" spans="1:13" ht="16.2" thickBot="1" x14ac:dyDescent="0.35">
      <c r="B25" s="434">
        <f>B22+B23+B24</f>
        <v>47020030.313449807</v>
      </c>
      <c r="C25" s="434">
        <f>C22+C23+C24</f>
        <v>21332320.750285693</v>
      </c>
      <c r="D25" s="434">
        <f>D22+D23</f>
        <v>4406960</v>
      </c>
      <c r="E25" s="434">
        <f>E22+E23+E24</f>
        <v>68352351.063735515</v>
      </c>
      <c r="F25" s="434">
        <f>F22+F23</f>
        <v>-22165022</v>
      </c>
      <c r="G25" s="435">
        <f t="shared" ref="G25" si="8">G22+G23</f>
        <v>-476506</v>
      </c>
      <c r="H25" s="436">
        <f>H22+H23+H24</f>
        <v>45710823.063735507</v>
      </c>
      <c r="J25" s="766">
        <f t="shared" si="6"/>
        <v>50117783.063735507</v>
      </c>
    </row>
    <row r="27" spans="1:13" x14ac:dyDescent="0.3">
      <c r="B27" s="290">
        <f t="shared" ref="B27:H27" si="9">B25-B12</f>
        <v>0</v>
      </c>
      <c r="C27" s="290">
        <f t="shared" si="9"/>
        <v>0</v>
      </c>
      <c r="D27" s="290">
        <f t="shared" si="9"/>
        <v>0</v>
      </c>
      <c r="E27" s="290">
        <f t="shared" si="9"/>
        <v>0</v>
      </c>
      <c r="F27" s="290">
        <f t="shared" si="9"/>
        <v>0</v>
      </c>
      <c r="G27" s="290">
        <f t="shared" si="9"/>
        <v>0</v>
      </c>
      <c r="H27" s="290">
        <f t="shared" si="9"/>
        <v>0</v>
      </c>
    </row>
    <row r="28" spans="1:13" x14ac:dyDescent="0.3">
      <c r="B28" s="290"/>
      <c r="C28" s="290"/>
      <c r="D28" s="290"/>
      <c r="H28" s="290"/>
    </row>
    <row r="29" spans="1:13" x14ac:dyDescent="0.3">
      <c r="B29" s="14"/>
      <c r="C29" s="14"/>
      <c r="D29" s="280"/>
      <c r="E29" s="14"/>
      <c r="F29" s="280"/>
      <c r="G29" s="280"/>
      <c r="H29" s="280"/>
    </row>
    <row r="30" spans="1:13" x14ac:dyDescent="0.3">
      <c r="B30" s="280"/>
      <c r="C30" s="280"/>
      <c r="D30" s="280"/>
      <c r="E30" s="280"/>
      <c r="F30" s="280"/>
      <c r="G30" s="280"/>
      <c r="H30" s="280"/>
      <c r="L30" s="347"/>
    </row>
    <row r="31" spans="1:13" x14ac:dyDescent="0.3">
      <c r="B31" s="280"/>
      <c r="C31" s="280"/>
      <c r="D31" s="280"/>
      <c r="E31" s="280"/>
      <c r="F31" s="280"/>
      <c r="G31" s="280"/>
      <c r="H31" s="280"/>
    </row>
    <row r="32" spans="1:13" x14ac:dyDescent="0.3">
      <c r="B32" s="280"/>
      <c r="C32" s="280"/>
      <c r="D32" s="280"/>
      <c r="E32" s="280"/>
      <c r="F32" s="280"/>
      <c r="G32" s="280"/>
      <c r="H32" s="280"/>
    </row>
    <row r="33" spans="2:8" x14ac:dyDescent="0.3">
      <c r="B33" s="280"/>
      <c r="C33" s="280"/>
      <c r="D33" s="280"/>
      <c r="E33" s="280"/>
      <c r="F33" s="280"/>
      <c r="G33" s="280"/>
      <c r="H33" s="280"/>
    </row>
    <row r="34" spans="2:8" x14ac:dyDescent="0.3">
      <c r="B34" s="280"/>
      <c r="C34" s="280"/>
      <c r="D34" s="280"/>
      <c r="E34" s="280"/>
      <c r="F34" s="280"/>
      <c r="G34" s="280"/>
      <c r="H34" s="280"/>
    </row>
  </sheetData>
  <printOptions horizontalCentered="1" gridLines="1"/>
  <pageMargins left="0" right="0" top="0.78740157480314965" bottom="0.78740157480314965" header="0.31496062992125984" footer="0.31496062992125984"/>
  <pageSetup paperSize="9" scale="93" orientation="landscape" r:id="rId1"/>
  <headerFooter>
    <oddHeader>&amp;RSoubor: &amp;F, List: &amp;A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39"/>
  <sheetViews>
    <sheetView workbookViewId="0">
      <selection activeCell="O21" sqref="O21:P22"/>
    </sheetView>
  </sheetViews>
  <sheetFormatPr defaultRowHeight="13.2" x14ac:dyDescent="0.25"/>
  <cols>
    <col min="1" max="1" width="2.6640625" customWidth="1"/>
    <col min="2" max="2" width="38.6640625" bestFit="1" customWidth="1"/>
    <col min="3" max="3" width="14.6640625" customWidth="1"/>
    <col min="4" max="4" width="15.88671875" bestFit="1" customWidth="1"/>
    <col min="5" max="6" width="14.6640625" customWidth="1"/>
    <col min="7" max="7" width="24.44140625" customWidth="1"/>
    <col min="8" max="8" width="3.44140625" customWidth="1"/>
    <col min="9" max="9" width="3.5546875" customWidth="1"/>
    <col min="10" max="10" width="2.109375" customWidth="1"/>
    <col min="12" max="12" width="21.109375" customWidth="1"/>
    <col min="13" max="14" width="16.88671875" bestFit="1" customWidth="1"/>
    <col min="15" max="15" width="16.88671875" customWidth="1"/>
    <col min="16" max="16" width="16.88671875" bestFit="1" customWidth="1"/>
    <col min="17" max="17" width="15.88671875" bestFit="1" customWidth="1"/>
    <col min="18" max="18" width="16.88671875" bestFit="1" customWidth="1"/>
    <col min="19" max="21" width="14.33203125" bestFit="1" customWidth="1"/>
  </cols>
  <sheetData>
    <row r="1" spans="1:21" ht="45" customHeight="1" x14ac:dyDescent="0.35">
      <c r="A1" s="1065" t="s">
        <v>246</v>
      </c>
      <c r="B1" s="1066"/>
      <c r="C1" s="1066"/>
      <c r="D1" s="1066"/>
      <c r="E1" s="1066"/>
      <c r="F1" s="1066"/>
      <c r="G1" s="1066"/>
      <c r="H1" s="1066"/>
      <c r="I1" s="1066"/>
      <c r="J1" s="1067"/>
    </row>
    <row r="2" spans="1:21" ht="20.25" customHeight="1" x14ac:dyDescent="0.35">
      <c r="A2" s="1065" t="s">
        <v>953</v>
      </c>
      <c r="B2" s="1066"/>
      <c r="C2" s="1066"/>
      <c r="D2" s="1066"/>
      <c r="E2" s="1066"/>
      <c r="F2" s="1066"/>
      <c r="G2" s="1066"/>
      <c r="H2" s="1066"/>
      <c r="I2" s="1066"/>
      <c r="J2" s="1067"/>
    </row>
    <row r="3" spans="1:21" ht="13.5" customHeight="1" x14ac:dyDescent="0.3">
      <c r="A3" s="1068" t="s">
        <v>971</v>
      </c>
      <c r="B3" s="1069"/>
      <c r="C3" s="1069"/>
      <c r="D3" s="1069"/>
      <c r="E3" s="1069"/>
      <c r="F3" s="1069"/>
      <c r="G3" s="1069"/>
      <c r="H3" s="1069"/>
      <c r="I3" s="1069"/>
      <c r="J3" s="1069"/>
    </row>
    <row r="4" spans="1:21" x14ac:dyDescent="0.25">
      <c r="D4" s="346"/>
      <c r="L4" s="633"/>
      <c r="M4" s="633"/>
    </row>
    <row r="5" spans="1:21" x14ac:dyDescent="0.25">
      <c r="L5" s="1071">
        <v>2023</v>
      </c>
      <c r="M5" s="1071"/>
      <c r="N5" s="1071"/>
      <c r="O5" s="1071"/>
      <c r="P5" s="1071"/>
      <c r="Q5" s="657"/>
      <c r="R5" s="657"/>
      <c r="S5" s="657"/>
      <c r="T5" s="657"/>
      <c r="U5" s="657"/>
    </row>
    <row r="6" spans="1:21" ht="15.6" x14ac:dyDescent="0.3">
      <c r="B6" s="441"/>
      <c r="C6" s="442">
        <v>106</v>
      </c>
      <c r="D6" s="442">
        <v>117</v>
      </c>
      <c r="E6" s="442" t="s">
        <v>152</v>
      </c>
      <c r="F6" s="443" t="s">
        <v>149</v>
      </c>
      <c r="G6" s="444" t="s">
        <v>150</v>
      </c>
      <c r="L6" s="1029">
        <v>106</v>
      </c>
      <c r="M6" s="1028">
        <v>117</v>
      </c>
      <c r="N6" s="1026" t="s">
        <v>152</v>
      </c>
      <c r="O6" s="1026" t="s">
        <v>149</v>
      </c>
      <c r="P6" s="1026" t="s">
        <v>150</v>
      </c>
      <c r="Q6" s="752"/>
      <c r="R6" s="752"/>
    </row>
    <row r="7" spans="1:21" ht="15.6" x14ac:dyDescent="0.3">
      <c r="B7" s="449" t="s">
        <v>86</v>
      </c>
      <c r="C7" s="370">
        <f>'14_rozpočítání DF'!B19</f>
        <v>6527306.4212519927</v>
      </c>
      <c r="D7" s="370">
        <f>'12_Celkem_117'!L14</f>
        <v>7209435.4375760704</v>
      </c>
      <c r="E7" s="370">
        <f>-'13_Celoškolská Režie'!F33</f>
        <v>-3975686</v>
      </c>
      <c r="F7" s="370">
        <f>-'8_Výpočet_20%_FRIM'!D6</f>
        <v>-70534</v>
      </c>
      <c r="G7" s="445">
        <f>SUM(C7:F7)</f>
        <v>9690521.8588280641</v>
      </c>
      <c r="L7" s="1028">
        <v>6796633</v>
      </c>
      <c r="M7" s="1027">
        <v>8066360</v>
      </c>
      <c r="N7" s="1028">
        <v>-4059427</v>
      </c>
      <c r="O7" s="1028">
        <v>-78043</v>
      </c>
      <c r="P7" s="1028">
        <v>10725522</v>
      </c>
      <c r="Q7" s="633"/>
      <c r="R7" s="633"/>
      <c r="S7" s="633"/>
      <c r="T7" s="633"/>
      <c r="U7" s="654"/>
    </row>
    <row r="8" spans="1:21" ht="15.6" x14ac:dyDescent="0.3">
      <c r="B8" s="449" t="s">
        <v>87</v>
      </c>
      <c r="C8" s="370">
        <f>'14_rozpočítání DF'!B20</f>
        <v>18638524.525799621</v>
      </c>
      <c r="D8" s="370">
        <f>'12_Celkem_117'!L15</f>
        <v>7116005.2963597924</v>
      </c>
      <c r="E8" s="370">
        <f>-'13_Celoškolská Režie'!F34</f>
        <v>-11616171</v>
      </c>
      <c r="F8" s="370">
        <f>-'8_Výpočet_20%_FRIM'!D7</f>
        <v>-270445</v>
      </c>
      <c r="G8" s="445">
        <f>SUM(C8:F8)</f>
        <v>13867913.822159413</v>
      </c>
      <c r="L8" s="1028">
        <v>19121939</v>
      </c>
      <c r="M8" s="1027">
        <v>8543538</v>
      </c>
      <c r="N8" s="1028">
        <v>-11975509</v>
      </c>
      <c r="O8" s="1028">
        <v>-301687</v>
      </c>
      <c r="P8" s="1028">
        <v>15388280</v>
      </c>
      <c r="Q8" s="633"/>
      <c r="R8" s="633"/>
      <c r="S8" s="633"/>
      <c r="T8" s="633"/>
      <c r="U8" s="654"/>
    </row>
    <row r="9" spans="1:21" ht="16.2" thickBot="1" x14ac:dyDescent="0.35">
      <c r="B9" s="449" t="s">
        <v>88</v>
      </c>
      <c r="C9" s="370">
        <f>'14_rozpočítání DF'!B21</f>
        <v>13864837.367728595</v>
      </c>
      <c r="D9" s="370">
        <f>'12_Celkem_117'!L16</f>
        <v>6756880.0163498297</v>
      </c>
      <c r="E9" s="370">
        <f>-'13_Celoškolská Režie'!F35</f>
        <v>-6477202</v>
      </c>
      <c r="F9" s="370">
        <f>-'8_Výpočet_20%_FRIM'!D8</f>
        <v>-112527</v>
      </c>
      <c r="G9" s="446">
        <f>SUM(C9:F9)</f>
        <v>14031988.384078424</v>
      </c>
      <c r="L9" s="1028">
        <v>13649801</v>
      </c>
      <c r="M9" s="1027">
        <v>7516701</v>
      </c>
      <c r="N9" s="1028">
        <v>-6585252</v>
      </c>
      <c r="O9" s="1028">
        <v>-114516</v>
      </c>
      <c r="P9" s="1028">
        <v>14466734</v>
      </c>
      <c r="Q9" s="633"/>
      <c r="R9" s="633"/>
      <c r="S9" s="633"/>
      <c r="T9" s="633"/>
      <c r="U9" s="654"/>
    </row>
    <row r="10" spans="1:21" ht="18" thickBot="1" x14ac:dyDescent="0.35">
      <c r="B10" s="42"/>
      <c r="C10" s="281">
        <f>SUM(C7:C9)</f>
        <v>39030668.314780205</v>
      </c>
      <c r="D10" s="281">
        <f>SUM(D7:D9)</f>
        <v>21082320.750285693</v>
      </c>
      <c r="E10" s="281">
        <f>SUM(E7:E9)</f>
        <v>-22069059</v>
      </c>
      <c r="F10" s="282">
        <f>SUM(F7:F9)</f>
        <v>-453506</v>
      </c>
      <c r="G10" s="447">
        <f>SUM(G7:G9)</f>
        <v>37590424.065065905</v>
      </c>
      <c r="L10" s="1028">
        <v>39568373</v>
      </c>
      <c r="M10" s="1027">
        <v>24126598</v>
      </c>
      <c r="N10" s="1028">
        <v>-22620188</v>
      </c>
      <c r="O10" s="1028">
        <v>-494246</v>
      </c>
      <c r="P10" s="1028">
        <v>40580536</v>
      </c>
      <c r="Q10" s="633"/>
      <c r="R10" s="633"/>
      <c r="S10" s="633"/>
      <c r="T10" s="633"/>
      <c r="U10" s="654"/>
    </row>
    <row r="11" spans="1:21" ht="15.6" x14ac:dyDescent="0.3">
      <c r="B11" s="449" t="s">
        <v>75</v>
      </c>
      <c r="C11" s="280">
        <f>'14_rozpočítání DF'!B23</f>
        <v>7989361.9986696038</v>
      </c>
      <c r="D11" s="280">
        <f>'14_rozpočítání DF'!C9</f>
        <v>250000</v>
      </c>
      <c r="E11" s="14">
        <f>-'13_Celoškolská Režie'!I36</f>
        <v>-95963</v>
      </c>
      <c r="F11" s="280">
        <f>-'8_Výpočet_20%_FRIM'!D5</f>
        <v>-23000</v>
      </c>
      <c r="G11" s="448">
        <f>SUM(C11:F11)</f>
        <v>8120398.9986696038</v>
      </c>
      <c r="L11" s="1028">
        <v>7967311</v>
      </c>
      <c r="M11" s="1027">
        <v>300000</v>
      </c>
      <c r="N11" s="1028">
        <v>-98959</v>
      </c>
      <c r="O11" s="1028">
        <v>-23738</v>
      </c>
      <c r="P11" s="1028">
        <v>8144614</v>
      </c>
      <c r="Q11" s="633"/>
      <c r="R11" s="633"/>
      <c r="S11" s="633"/>
      <c r="T11" s="633"/>
      <c r="U11" s="654"/>
    </row>
    <row r="12" spans="1:21" ht="16.2" thickBot="1" x14ac:dyDescent="0.35">
      <c r="B12" s="449" t="s">
        <v>542</v>
      </c>
      <c r="C12" s="280">
        <f>'14_rozpočítání DF'!B10</f>
        <v>150000</v>
      </c>
      <c r="D12" s="280"/>
      <c r="E12" s="14"/>
      <c r="F12" s="280"/>
      <c r="G12" s="448"/>
      <c r="L12" s="1028">
        <v>300000</v>
      </c>
      <c r="M12" s="1027"/>
      <c r="N12" s="1028"/>
      <c r="O12" s="1028"/>
      <c r="P12" s="1028"/>
      <c r="Q12" s="633"/>
      <c r="R12" s="633"/>
      <c r="S12" s="633"/>
      <c r="T12" s="633"/>
      <c r="U12" s="654"/>
    </row>
    <row r="13" spans="1:21" ht="18" thickBot="1" x14ac:dyDescent="0.35">
      <c r="B13" s="1"/>
      <c r="C13" s="281">
        <f>C10+C11+C12</f>
        <v>47170030.313449807</v>
      </c>
      <c r="D13" s="281">
        <f>D10+D11</f>
        <v>21332320.750285693</v>
      </c>
      <c r="E13" s="281">
        <f>E10+E11</f>
        <v>-22165022</v>
      </c>
      <c r="F13" s="282">
        <f>F10+F11</f>
        <v>-476506</v>
      </c>
      <c r="G13" s="70">
        <f>G10+G11</f>
        <v>45710823.063735507</v>
      </c>
      <c r="L13" s="1028">
        <v>49086697</v>
      </c>
      <c r="M13" s="1027">
        <v>24426598</v>
      </c>
      <c r="N13" s="1030">
        <v>-22719147</v>
      </c>
      <c r="O13" s="1030">
        <v>-517984</v>
      </c>
      <c r="P13" s="1030">
        <v>49976164</v>
      </c>
      <c r="Q13" s="767"/>
      <c r="R13" s="767"/>
    </row>
    <row r="14" spans="1:21" x14ac:dyDescent="0.25">
      <c r="C14" s="349"/>
      <c r="D14" s="349"/>
      <c r="E14" s="349"/>
      <c r="L14" s="633"/>
      <c r="M14" s="769"/>
    </row>
    <row r="15" spans="1:21" x14ac:dyDescent="0.25">
      <c r="G15" s="357"/>
      <c r="L15" s="633"/>
      <c r="M15" s="769"/>
    </row>
    <row r="16" spans="1:21" x14ac:dyDescent="0.25">
      <c r="B16" t="s">
        <v>332</v>
      </c>
      <c r="G16" s="357"/>
      <c r="L16" s="1031">
        <f>L6</f>
        <v>106</v>
      </c>
      <c r="M16" s="1031">
        <f>M6</f>
        <v>117</v>
      </c>
      <c r="N16" s="1031" t="str">
        <f>N6</f>
        <v>Režie</v>
      </c>
      <c r="O16" s="1031" t="str">
        <f>O6</f>
        <v>20%FRIM</v>
      </c>
      <c r="P16" s="1031" t="str">
        <f>P6</f>
        <v>Vše na pracovišti</v>
      </c>
    </row>
    <row r="17" spans="2:18" ht="15.6" x14ac:dyDescent="0.3">
      <c r="C17" s="442" t="s">
        <v>105</v>
      </c>
      <c r="G17" s="357"/>
      <c r="L17" s="1032">
        <f t="shared" ref="L17:P22" si="0">C7-L7</f>
        <v>-269326.5787480073</v>
      </c>
      <c r="M17" s="1032">
        <f t="shared" si="0"/>
        <v>-856924.56242392957</v>
      </c>
      <c r="N17" s="1032">
        <f t="shared" si="0"/>
        <v>83741</v>
      </c>
      <c r="O17" s="1032">
        <f t="shared" si="0"/>
        <v>7509</v>
      </c>
      <c r="P17" s="1032">
        <f t="shared" si="0"/>
        <v>-1035000.1411719359</v>
      </c>
    </row>
    <row r="18" spans="2:18" ht="15.6" x14ac:dyDescent="0.3">
      <c r="B18" s="449" t="s">
        <v>86</v>
      </c>
      <c r="C18" s="370">
        <f>'11_Celkem_115'!M9</f>
        <v>251318</v>
      </c>
      <c r="G18" s="357"/>
      <c r="L18" s="1032">
        <f t="shared" si="0"/>
        <v>-483414.4742003791</v>
      </c>
      <c r="M18" s="1032">
        <f t="shared" si="0"/>
        <v>-1427532.7036402076</v>
      </c>
      <c r="N18" s="1032">
        <f t="shared" si="0"/>
        <v>359338</v>
      </c>
      <c r="O18" s="1032">
        <f t="shared" si="0"/>
        <v>31242</v>
      </c>
      <c r="P18" s="1032">
        <f t="shared" si="0"/>
        <v>-1520366.1778405868</v>
      </c>
    </row>
    <row r="19" spans="2:18" ht="15.6" x14ac:dyDescent="0.3">
      <c r="B19" s="449" t="s">
        <v>87</v>
      </c>
      <c r="C19" s="370">
        <f>'11_Celkem_115'!M10</f>
        <v>1115719</v>
      </c>
      <c r="G19" s="357"/>
      <c r="L19" s="1032">
        <f t="shared" si="0"/>
        <v>215036.36772859469</v>
      </c>
      <c r="M19" s="1032">
        <f t="shared" si="0"/>
        <v>-759820.98365017027</v>
      </c>
      <c r="N19" s="1032">
        <f t="shared" si="0"/>
        <v>108050</v>
      </c>
      <c r="O19" s="1032">
        <f t="shared" si="0"/>
        <v>1989</v>
      </c>
      <c r="P19" s="1032">
        <f t="shared" si="0"/>
        <v>-434745.61592157558</v>
      </c>
    </row>
    <row r="20" spans="2:18" ht="15.6" x14ac:dyDescent="0.3">
      <c r="B20" s="449" t="s">
        <v>88</v>
      </c>
      <c r="C20" s="370">
        <f>'11_Celkem_115'!M11</f>
        <v>2705032</v>
      </c>
      <c r="G20" s="357"/>
      <c r="L20" s="1032">
        <f t="shared" si="0"/>
        <v>-537704.68521979451</v>
      </c>
      <c r="M20" s="1032">
        <f t="shared" si="0"/>
        <v>-3044277.2497143075</v>
      </c>
      <c r="N20" s="1032">
        <f t="shared" si="0"/>
        <v>551129</v>
      </c>
      <c r="O20" s="1032">
        <f t="shared" si="0"/>
        <v>40740</v>
      </c>
      <c r="P20" s="1032">
        <f t="shared" si="0"/>
        <v>-2990111.9349340945</v>
      </c>
    </row>
    <row r="21" spans="2:18" ht="15.6" x14ac:dyDescent="0.3">
      <c r="B21" s="42"/>
      <c r="C21" s="281">
        <f>SUM(C18:C20)</f>
        <v>4072069</v>
      </c>
      <c r="G21" s="357"/>
      <c r="L21" s="1032">
        <f t="shared" si="0"/>
        <v>22050.99866960384</v>
      </c>
      <c r="M21" s="1032">
        <f t="shared" si="0"/>
        <v>-50000</v>
      </c>
      <c r="N21" s="1032">
        <f t="shared" si="0"/>
        <v>2996</v>
      </c>
      <c r="O21" s="1032">
        <f t="shared" si="0"/>
        <v>738</v>
      </c>
      <c r="P21" s="1032">
        <f t="shared" si="0"/>
        <v>-24215.00133039616</v>
      </c>
    </row>
    <row r="22" spans="2:18" ht="15.6" x14ac:dyDescent="0.3">
      <c r="B22" s="449" t="s">
        <v>75</v>
      </c>
      <c r="C22" s="280">
        <f>'11_Celkem_115'!M13+'11_Celkem_115'!M14</f>
        <v>334891</v>
      </c>
      <c r="G22" s="357"/>
      <c r="L22" s="1032">
        <f t="shared" si="0"/>
        <v>-150000</v>
      </c>
      <c r="M22" s="1032">
        <f t="shared" si="0"/>
        <v>0</v>
      </c>
      <c r="N22" s="1032">
        <f t="shared" si="0"/>
        <v>0</v>
      </c>
      <c r="O22" s="1032">
        <f t="shared" si="0"/>
        <v>0</v>
      </c>
      <c r="P22" s="1032">
        <f t="shared" si="0"/>
        <v>0</v>
      </c>
    </row>
    <row r="23" spans="2:18" ht="15.6" x14ac:dyDescent="0.3">
      <c r="C23" s="281">
        <f>C21+C22</f>
        <v>4406960</v>
      </c>
      <c r="G23" s="357"/>
      <c r="L23" s="1032" t="e">
        <f>#REF!-#REF!</f>
        <v>#REF!</v>
      </c>
      <c r="M23" s="1032" t="e">
        <f>#REF!-#REF!</f>
        <v>#REF!</v>
      </c>
      <c r="N23" s="1032" t="e">
        <f>#REF!-#REF!</f>
        <v>#REF!</v>
      </c>
      <c r="O23" s="1032" t="e">
        <f>#REF!-#REF!</f>
        <v>#REF!</v>
      </c>
      <c r="P23" s="1032" t="e">
        <f>#REF!-#REF!</f>
        <v>#REF!</v>
      </c>
    </row>
    <row r="24" spans="2:18" x14ac:dyDescent="0.25">
      <c r="G24" s="357"/>
      <c r="L24" s="1032">
        <f t="shared" ref="L24" si="1">C13-L13</f>
        <v>-1916666.6865501925</v>
      </c>
      <c r="M24" s="1032">
        <f t="shared" ref="M24:P24" si="2">D13-M13</f>
        <v>-3094277.2497143075</v>
      </c>
      <c r="N24" s="1032">
        <f t="shared" si="2"/>
        <v>554125</v>
      </c>
      <c r="O24" s="1032">
        <f t="shared" si="2"/>
        <v>41478</v>
      </c>
      <c r="P24" s="1032">
        <f t="shared" si="2"/>
        <v>-4265340.9362644926</v>
      </c>
    </row>
    <row r="25" spans="2:18" x14ac:dyDescent="0.25">
      <c r="G25" s="357"/>
      <c r="M25" s="752"/>
    </row>
    <row r="26" spans="2:18" x14ac:dyDescent="0.25">
      <c r="G26" s="357"/>
      <c r="M26" s="752"/>
    </row>
    <row r="27" spans="2:18" ht="15" customHeight="1" x14ac:dyDescent="0.25">
      <c r="M27" s="752"/>
    </row>
    <row r="28" spans="2:18" x14ac:dyDescent="0.25">
      <c r="M28" s="770"/>
      <c r="N28" s="770"/>
      <c r="O28" s="770"/>
      <c r="P28" s="772"/>
      <c r="Q28" s="772"/>
      <c r="R28" s="772"/>
    </row>
    <row r="29" spans="2:18" ht="15.6" x14ac:dyDescent="0.3">
      <c r="B29" s="241"/>
      <c r="C29" s="243"/>
      <c r="D29" s="243"/>
      <c r="E29" s="243"/>
      <c r="F29" s="243"/>
      <c r="G29" s="322" t="s">
        <v>394</v>
      </c>
      <c r="H29" s="243"/>
      <c r="I29" s="243"/>
      <c r="M29" s="771"/>
      <c r="N29" s="768"/>
      <c r="O29" s="768"/>
      <c r="P29" s="768"/>
      <c r="Q29" s="768"/>
      <c r="R29" s="768"/>
    </row>
    <row r="30" spans="2:18" ht="15.6" x14ac:dyDescent="0.3">
      <c r="B30" s="241"/>
      <c r="C30" s="53"/>
      <c r="D30" s="53"/>
      <c r="E30" s="53"/>
      <c r="F30" s="53"/>
      <c r="G30" s="241" t="s">
        <v>248</v>
      </c>
      <c r="H30" s="53"/>
      <c r="I30" s="53"/>
      <c r="M30" s="771"/>
      <c r="N30" s="768"/>
      <c r="O30" s="768"/>
      <c r="P30" s="768"/>
      <c r="Q30" s="768"/>
      <c r="R30" s="768"/>
    </row>
    <row r="31" spans="2:18" ht="15.6" x14ac:dyDescent="0.3">
      <c r="B31" s="241"/>
      <c r="C31" s="53"/>
      <c r="D31" s="53"/>
      <c r="E31" s="53"/>
      <c r="F31" s="53"/>
      <c r="G31" s="53"/>
      <c r="H31" s="53"/>
      <c r="I31" s="53"/>
      <c r="M31" s="771"/>
      <c r="N31" s="768"/>
      <c r="O31" s="768"/>
      <c r="P31" s="768"/>
      <c r="Q31" s="768"/>
      <c r="R31" s="768"/>
    </row>
    <row r="32" spans="2:18" ht="15.6" x14ac:dyDescent="0.3">
      <c r="B32" s="1070" t="s">
        <v>970</v>
      </c>
      <c r="C32" s="1070"/>
      <c r="D32" s="1070"/>
      <c r="E32" s="1070"/>
      <c r="F32" s="53"/>
      <c r="G32" s="53"/>
      <c r="H32" s="53"/>
      <c r="I32" s="53"/>
      <c r="M32" s="771"/>
      <c r="N32" s="768"/>
      <c r="O32" s="768"/>
      <c r="P32" s="768"/>
      <c r="Q32" s="768"/>
      <c r="R32" s="768"/>
    </row>
    <row r="33" spans="2:13" ht="162" customHeight="1" x14ac:dyDescent="0.25">
      <c r="M33" s="771"/>
    </row>
    <row r="34" spans="2:13" x14ac:dyDescent="0.25">
      <c r="M34" s="771"/>
    </row>
    <row r="35" spans="2:13" x14ac:dyDescent="0.25">
      <c r="B35" t="s">
        <v>537</v>
      </c>
      <c r="C35" t="s">
        <v>538</v>
      </c>
      <c r="D35" t="s">
        <v>446</v>
      </c>
      <c r="M35" s="771"/>
    </row>
    <row r="36" spans="2:13" x14ac:dyDescent="0.25">
      <c r="C36" s="767">
        <f>-'3_DSP'!O12-'3_DSP'!O13</f>
        <v>0</v>
      </c>
      <c r="D36" s="767">
        <f>-'3_DSP'!O11</f>
        <v>0</v>
      </c>
      <c r="G36" s="854" t="e">
        <f>SUM(C36:D36)+#REF!</f>
        <v>#REF!</v>
      </c>
      <c r="M36" s="771"/>
    </row>
    <row r="37" spans="2:13" x14ac:dyDescent="0.25">
      <c r="M37" s="771"/>
    </row>
    <row r="38" spans="2:13" x14ac:dyDescent="0.25">
      <c r="B38" t="s">
        <v>536</v>
      </c>
      <c r="C38" t="s">
        <v>538</v>
      </c>
      <c r="D38" t="s">
        <v>446</v>
      </c>
      <c r="E38" t="s">
        <v>1</v>
      </c>
      <c r="M38" s="771"/>
    </row>
    <row r="39" spans="2:13" x14ac:dyDescent="0.25">
      <c r="C39" s="654">
        <f>'12_Celkem_117'!F51</f>
        <v>72000</v>
      </c>
      <c r="D39" s="654">
        <f>'12_Celkem_117'!F50</f>
        <v>72000</v>
      </c>
      <c r="E39" s="654">
        <f>'12_Celkem_117'!F49</f>
        <v>36000</v>
      </c>
      <c r="F39" s="654">
        <f>SUM(C39:E39)</f>
        <v>180000</v>
      </c>
      <c r="G39" s="854">
        <f>F39-SUM('12_Celkem_117'!C21:C23)</f>
        <v>180000</v>
      </c>
      <c r="M39" s="771"/>
    </row>
  </sheetData>
  <mergeCells count="5">
    <mergeCell ref="A1:J1"/>
    <mergeCell ref="A2:J2"/>
    <mergeCell ref="A3:J3"/>
    <mergeCell ref="B32:E32"/>
    <mergeCell ref="L5:P5"/>
  </mergeCells>
  <conditionalFormatting sqref="N29:R3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{16101A39-B470-417E-973B-9CB051FEA67B}</x14:id>
        </ext>
      </extLst>
    </cfRule>
  </conditionalFormatting>
  <conditionalFormatting sqref="L17:P2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{DA7EE1A3-9DEC-423A-8EF3-0960311B76B3}</x14:id>
        </ext>
      </extLst>
    </cfRule>
  </conditionalFormatting>
  <printOptions horizontalCentered="1"/>
  <pageMargins left="0.39370078740157483" right="0.39370078740157483" top="0.78740157480314965" bottom="0.78740157480314965" header="0.31496062992125984" footer="0.31496062992125984"/>
  <pageSetup paperSize="9" scale="7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101A39-B470-417E-973B-9CB051FEA6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N29:R32</xm:sqref>
        </x14:conditionalFormatting>
        <x14:conditionalFormatting xmlns:xm="http://schemas.microsoft.com/office/excel/2006/main">
          <x14:cfRule type="dataBar" id="{DA7EE1A3-9DEC-423A-8EF3-0960311B76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L17:P24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AFA7-44E0-4C80-BC1E-DCECD4976F7E}">
  <dimension ref="A1:K32"/>
  <sheetViews>
    <sheetView tabSelected="1" workbookViewId="0">
      <selection activeCell="M17" sqref="M17"/>
    </sheetView>
  </sheetViews>
  <sheetFormatPr defaultRowHeight="13.2" x14ac:dyDescent="0.25"/>
  <cols>
    <col min="2" max="2" width="13.5546875" bestFit="1" customWidth="1"/>
    <col min="3" max="7" width="14.77734375" customWidth="1"/>
    <col min="8" max="8" width="22.33203125" customWidth="1"/>
  </cols>
  <sheetData>
    <row r="1" spans="1:11" ht="20.399999999999999" x14ac:dyDescent="0.35">
      <c r="A1" s="1065" t="s">
        <v>246</v>
      </c>
      <c r="B1" s="1066"/>
      <c r="C1" s="1066"/>
      <c r="D1" s="1066"/>
      <c r="E1" s="1066"/>
      <c r="F1" s="1066"/>
      <c r="G1" s="1066"/>
      <c r="H1" s="1066"/>
      <c r="I1" s="1066"/>
      <c r="J1" s="1066"/>
      <c r="K1" s="1067"/>
    </row>
    <row r="2" spans="1:11" ht="20.399999999999999" x14ac:dyDescent="0.35">
      <c r="A2" s="1065" t="s">
        <v>953</v>
      </c>
      <c r="B2" s="1066"/>
      <c r="C2" s="1066"/>
      <c r="D2" s="1066"/>
      <c r="E2" s="1066"/>
      <c r="F2" s="1066"/>
      <c r="G2" s="1066"/>
      <c r="H2" s="1066"/>
      <c r="I2" s="1066"/>
      <c r="J2" s="1066"/>
      <c r="K2" s="1067"/>
    </row>
    <row r="3" spans="1:11" ht="13.8" x14ac:dyDescent="0.3">
      <c r="A3" s="1068" t="s">
        <v>971</v>
      </c>
      <c r="B3" s="1069"/>
      <c r="C3" s="1069"/>
      <c r="D3" s="1069"/>
      <c r="E3" s="1069"/>
      <c r="F3" s="1069"/>
      <c r="G3" s="1069"/>
      <c r="H3" s="1069"/>
      <c r="I3" s="1069"/>
      <c r="J3" s="1069"/>
      <c r="K3" s="1069"/>
    </row>
    <row r="4" spans="1:11" x14ac:dyDescent="0.25">
      <c r="D4" s="346"/>
    </row>
    <row r="6" spans="1:11" ht="31.2" x14ac:dyDescent="0.3">
      <c r="B6" s="441"/>
      <c r="C6" s="442">
        <v>106</v>
      </c>
      <c r="D6" s="442">
        <v>117</v>
      </c>
      <c r="E6" s="442" t="s">
        <v>152</v>
      </c>
      <c r="F6" s="443" t="s">
        <v>149</v>
      </c>
      <c r="G6" s="1044" t="s">
        <v>1003</v>
      </c>
      <c r="H6" s="444" t="s">
        <v>150</v>
      </c>
    </row>
    <row r="7" spans="1:11" ht="15.6" x14ac:dyDescent="0.3">
      <c r="B7" s="449" t="s">
        <v>86</v>
      </c>
      <c r="C7" s="370">
        <f>'14_rozpočítání DF'!B19</f>
        <v>6527306.4212519927</v>
      </c>
      <c r="D7" s="370">
        <f>'12_Celkem_117'!L14</f>
        <v>7209435.4375760704</v>
      </c>
      <c r="E7" s="370">
        <f>-'13_Celoškolská Režie'!F33</f>
        <v>-3975686</v>
      </c>
      <c r="F7" s="1045">
        <f>-'8_Výpočet_20%_FRIM'!D6</f>
        <v>-70534</v>
      </c>
      <c r="G7" s="370">
        <v>270886</v>
      </c>
      <c r="H7" s="1046">
        <f>SUM(C7:F7)</f>
        <v>9690521.8588280641</v>
      </c>
    </row>
    <row r="8" spans="1:11" ht="15.6" x14ac:dyDescent="0.3">
      <c r="B8" s="449" t="s">
        <v>87</v>
      </c>
      <c r="C8" s="370">
        <f>'14_rozpočítání DF'!B20</f>
        <v>18638524.525799621</v>
      </c>
      <c r="D8" s="370">
        <f>'12_Celkem_117'!L15</f>
        <v>7116005.2963597924</v>
      </c>
      <c r="E8" s="370">
        <f>-'13_Celoškolská Režie'!F34</f>
        <v>-11616171</v>
      </c>
      <c r="F8" s="1045">
        <f>-'8_Výpočet_20%_FRIM'!D7</f>
        <v>-270445</v>
      </c>
      <c r="G8" s="370">
        <v>773507</v>
      </c>
      <c r="H8" s="1046">
        <f>SUM(C8:F8)</f>
        <v>13867913.822159413</v>
      </c>
    </row>
    <row r="9" spans="1:11" ht="16.2" thickBot="1" x14ac:dyDescent="0.35">
      <c r="B9" s="449" t="s">
        <v>88</v>
      </c>
      <c r="C9" s="370">
        <f>'14_rozpočítání DF'!B21</f>
        <v>13864837.367728595</v>
      </c>
      <c r="D9" s="370">
        <f>'12_Celkem_117'!L16</f>
        <v>6756880.0163498297</v>
      </c>
      <c r="E9" s="370">
        <f>-'13_Celoškolská Režie'!F35</f>
        <v>-6477202</v>
      </c>
      <c r="F9" s="1045">
        <f>-'8_Výpočet_20%_FRIM'!D8</f>
        <v>-112527</v>
      </c>
      <c r="G9" s="370">
        <v>575397</v>
      </c>
      <c r="H9" s="1047">
        <f>SUM(C9:F9)</f>
        <v>14031988.384078424</v>
      </c>
    </row>
    <row r="10" spans="1:11" ht="18" thickBot="1" x14ac:dyDescent="0.35">
      <c r="B10" s="42"/>
      <c r="C10" s="281">
        <f t="shared" ref="C10:H10" si="0">SUM(C7:C9)</f>
        <v>39030668.314780205</v>
      </c>
      <c r="D10" s="281">
        <f t="shared" si="0"/>
        <v>21082320.750285693</v>
      </c>
      <c r="E10" s="281">
        <f t="shared" si="0"/>
        <v>-22069059</v>
      </c>
      <c r="F10" s="282">
        <f t="shared" si="0"/>
        <v>-453506</v>
      </c>
      <c r="G10" s="281">
        <f t="shared" si="0"/>
        <v>1619790</v>
      </c>
      <c r="H10" s="1048">
        <f t="shared" si="0"/>
        <v>37590424.065065905</v>
      </c>
    </row>
    <row r="11" spans="1:11" ht="15.6" x14ac:dyDescent="0.3">
      <c r="B11" s="449" t="s">
        <v>75</v>
      </c>
      <c r="C11" s="280">
        <f>'14_rozpočítání DF'!B23</f>
        <v>7989361.9986696038</v>
      </c>
      <c r="D11" s="280">
        <f>'14_rozpočítání DF'!C9</f>
        <v>250000</v>
      </c>
      <c r="E11" s="14">
        <f>-'13_Celoškolská Režie'!I36</f>
        <v>-95963</v>
      </c>
      <c r="F11" s="280">
        <f>-'8_Výpočet_20%_FRIM'!D5</f>
        <v>-23000</v>
      </c>
      <c r="G11" s="280">
        <v>0</v>
      </c>
      <c r="H11" s="448">
        <f>SUM(C11:G11)</f>
        <v>8120398.9986696038</v>
      </c>
    </row>
    <row r="12" spans="1:11" ht="16.2" thickBot="1" x14ac:dyDescent="0.35">
      <c r="B12" s="449" t="s">
        <v>542</v>
      </c>
      <c r="C12" s="280">
        <f>'14_rozpočítání DF'!B10</f>
        <v>150000</v>
      </c>
      <c r="D12" s="280"/>
      <c r="E12" s="14"/>
      <c r="F12" s="280"/>
      <c r="G12" s="280"/>
      <c r="H12" s="448"/>
    </row>
    <row r="13" spans="1:11" ht="18" thickBot="1" x14ac:dyDescent="0.35">
      <c r="B13" s="1"/>
      <c r="C13" s="281">
        <f>C10+C11+C12</f>
        <v>47170030.313449807</v>
      </c>
      <c r="D13" s="281">
        <f>D10+D11</f>
        <v>21332320.750285693</v>
      </c>
      <c r="E13" s="281">
        <f>E10+E11</f>
        <v>-22165022</v>
      </c>
      <c r="F13" s="281">
        <f>F10+F11</f>
        <v>-476506</v>
      </c>
      <c r="G13" s="364"/>
      <c r="H13" s="70">
        <f>H10+H11</f>
        <v>45710823.063735507</v>
      </c>
    </row>
    <row r="14" spans="1:11" x14ac:dyDescent="0.25">
      <c r="C14" s="349"/>
      <c r="D14" s="349"/>
      <c r="E14" s="349"/>
    </row>
    <row r="15" spans="1:11" x14ac:dyDescent="0.25">
      <c r="H15" s="357"/>
    </row>
    <row r="16" spans="1:11" x14ac:dyDescent="0.25">
      <c r="B16" t="s">
        <v>332</v>
      </c>
      <c r="H16" s="357"/>
    </row>
    <row r="17" spans="2:10" ht="15.6" x14ac:dyDescent="0.3">
      <c r="C17" s="442" t="s">
        <v>105</v>
      </c>
      <c r="H17" s="357"/>
    </row>
    <row r="18" spans="2:10" ht="15.6" x14ac:dyDescent="0.3">
      <c r="B18" s="449" t="s">
        <v>86</v>
      </c>
      <c r="C18" s="370">
        <f>'11_Celkem_115'!M9</f>
        <v>251318</v>
      </c>
      <c r="H18" s="357"/>
    </row>
    <row r="19" spans="2:10" ht="15.6" x14ac:dyDescent="0.3">
      <c r="B19" s="449" t="s">
        <v>87</v>
      </c>
      <c r="C19" s="370">
        <f>'11_Celkem_115'!M10</f>
        <v>1115719</v>
      </c>
      <c r="H19" s="357"/>
    </row>
    <row r="20" spans="2:10" ht="15.6" x14ac:dyDescent="0.3">
      <c r="B20" s="449" t="s">
        <v>88</v>
      </c>
      <c r="C20" s="370">
        <f>'11_Celkem_115'!M11</f>
        <v>2705032</v>
      </c>
      <c r="H20" s="357"/>
    </row>
    <row r="21" spans="2:10" ht="15.6" x14ac:dyDescent="0.3">
      <c r="B21" s="42"/>
      <c r="C21" s="281">
        <f>SUM(C18:C20)</f>
        <v>4072069</v>
      </c>
      <c r="H21" s="357"/>
    </row>
    <row r="22" spans="2:10" ht="15.6" x14ac:dyDescent="0.3">
      <c r="B22" s="449" t="s">
        <v>75</v>
      </c>
      <c r="C22" s="280">
        <f>'11_Celkem_115'!M13+'11_Celkem_115'!M14</f>
        <v>334891</v>
      </c>
      <c r="H22" s="357"/>
    </row>
    <row r="23" spans="2:10" ht="15.6" x14ac:dyDescent="0.3">
      <c r="C23" s="281">
        <f>C21+C22</f>
        <v>4406960</v>
      </c>
      <c r="H23" s="357"/>
    </row>
    <row r="24" spans="2:10" x14ac:dyDescent="0.25">
      <c r="H24" s="357"/>
    </row>
    <row r="25" spans="2:10" x14ac:dyDescent="0.25">
      <c r="H25" s="357"/>
    </row>
    <row r="26" spans="2:10" x14ac:dyDescent="0.25">
      <c r="H26" s="357"/>
    </row>
    <row r="29" spans="2:10" ht="15.6" x14ac:dyDescent="0.3">
      <c r="B29" s="1043"/>
      <c r="C29" s="243"/>
      <c r="D29" s="243"/>
      <c r="E29" s="243"/>
      <c r="F29" s="243"/>
      <c r="G29" s="243"/>
      <c r="H29" s="322" t="s">
        <v>394</v>
      </c>
      <c r="I29" s="243"/>
      <c r="J29" s="243"/>
    </row>
    <row r="30" spans="2:10" ht="15.6" x14ac:dyDescent="0.3">
      <c r="B30" s="1043"/>
      <c r="C30" s="53"/>
      <c r="D30" s="53"/>
      <c r="E30" s="53"/>
      <c r="F30" s="53"/>
      <c r="G30" s="53"/>
      <c r="H30" s="1043" t="s">
        <v>248</v>
      </c>
      <c r="I30" s="53"/>
      <c r="J30" s="53"/>
    </row>
    <row r="31" spans="2:10" ht="15.6" x14ac:dyDescent="0.3">
      <c r="B31" s="1043"/>
      <c r="C31" s="53"/>
      <c r="D31" s="53"/>
      <c r="E31" s="53"/>
      <c r="F31" s="53"/>
      <c r="G31" s="53"/>
      <c r="H31" s="53"/>
      <c r="I31" s="53"/>
      <c r="J31" s="53"/>
    </row>
    <row r="32" spans="2:10" ht="15.6" x14ac:dyDescent="0.3">
      <c r="B32" s="1070" t="s">
        <v>970</v>
      </c>
      <c r="C32" s="1070"/>
      <c r="D32" s="1070"/>
      <c r="E32" s="1070"/>
      <c r="F32" s="53"/>
      <c r="G32" s="53"/>
      <c r="H32" s="53"/>
      <c r="I32" s="53"/>
      <c r="J32" s="53"/>
    </row>
  </sheetData>
  <mergeCells count="4">
    <mergeCell ref="A1:K1"/>
    <mergeCell ref="A2:K2"/>
    <mergeCell ref="A3:K3"/>
    <mergeCell ref="B32:E3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18</vt:i4>
      </vt:variant>
      <vt:variant>
        <vt:lpstr>Pojmenované oblasti</vt:lpstr>
      </vt:variant>
      <vt:variant>
        <vt:i4>13</vt:i4>
      </vt:variant>
    </vt:vector>
  </HeadingPairs>
  <TitlesOfParts>
    <vt:vector size="31" baseType="lpstr">
      <vt:lpstr>0_PRIDEL</vt:lpstr>
      <vt:lpstr>1_Bc_Mag_DSP</vt:lpstr>
      <vt:lpstr>2_Projekty_BP_DP</vt:lpstr>
      <vt:lpstr>3_DSP</vt:lpstr>
      <vt:lpstr>4_DOC_PROF</vt:lpstr>
      <vt:lpstr>4a_úvazky-na-FM</vt:lpstr>
      <vt:lpstr>5_Výuka</vt:lpstr>
      <vt:lpstr>6_Garanti</vt:lpstr>
      <vt:lpstr>7_Plochy pracovišť</vt:lpstr>
      <vt:lpstr>8_Výpočet_20%_FRIM</vt:lpstr>
      <vt:lpstr>9_DFM</vt:lpstr>
      <vt:lpstr>10_Celkem_106</vt:lpstr>
      <vt:lpstr>11_Celkem_115</vt:lpstr>
      <vt:lpstr>13_Celoškolská Režie</vt:lpstr>
      <vt:lpstr>12_Celkem_117</vt:lpstr>
      <vt:lpstr>14_rozpočítání DF</vt:lpstr>
      <vt:lpstr>ROZPOČET</vt:lpstr>
      <vt:lpstr>ROZPOČET + DODATEK</vt:lpstr>
      <vt:lpstr>'0_PRIDEL'!Oblast_tisku</vt:lpstr>
      <vt:lpstr>'1_Bc_Mag_DSP'!Oblast_tisku</vt:lpstr>
      <vt:lpstr>'10_Celkem_106'!Oblast_tisku</vt:lpstr>
      <vt:lpstr>'12_Celkem_117'!Oblast_tisku</vt:lpstr>
      <vt:lpstr>'13_Celoškolská Režie'!Oblast_tisku</vt:lpstr>
      <vt:lpstr>'2_Projekty_BP_DP'!Oblast_tisku</vt:lpstr>
      <vt:lpstr>'3_DSP'!Oblast_tisku</vt:lpstr>
      <vt:lpstr>'4a_úvazky-na-FM'!Oblast_tisku</vt:lpstr>
      <vt:lpstr>'5_Výuka'!Oblast_tisku</vt:lpstr>
      <vt:lpstr>'7_Plochy pracovišť'!Oblast_tisku</vt:lpstr>
      <vt:lpstr>'8_Výpočet_20%_FRIM'!Oblast_tisku</vt:lpstr>
      <vt:lpstr>'9_DFM'!Oblast_tisku</vt:lpstr>
      <vt:lpstr>ROZPOČET!Oblast_tisku</vt:lpstr>
    </vt:vector>
  </TitlesOfParts>
  <Company>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Olga</cp:lastModifiedBy>
  <cp:lastPrinted>2024-05-02T06:46:45Z</cp:lastPrinted>
  <dcterms:created xsi:type="dcterms:W3CDTF">1999-02-11T13:15:26Z</dcterms:created>
  <dcterms:modified xsi:type="dcterms:W3CDTF">2024-05-02T10:08:51Z</dcterms:modified>
</cp:coreProperties>
</file>